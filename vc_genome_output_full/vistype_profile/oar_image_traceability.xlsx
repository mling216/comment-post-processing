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oding\Copilot\comment_post_processing\vc_genome_output_full\vistype_profile\"/>
    </mc:Choice>
  </mc:AlternateContent>
  <xr:revisionPtr revIDLastSave="0" documentId="13_ncr:9_{F196B310-10A5-494B-A534-933CD4D55078}" xr6:coauthVersionLast="47" xr6:coauthVersionMax="47" xr10:uidLastSave="{00000000-0000-0000-0000-000000000000}"/>
  <bookViews>
    <workbookView xWindow="1275" yWindow="-120" windowWidth="27645" windowHeight="16440" xr2:uid="{10E85E8E-2DB9-4C00-896B-37C82930F43F}"/>
  </bookViews>
  <sheets>
    <sheet name="oar_image_traceability" sheetId="1" r:id="rId1"/>
  </sheets>
  <calcPr calcId="0"/>
</workbook>
</file>

<file path=xl/calcChain.xml><?xml version="1.0" encoding="utf-8"?>
<calcChain xmlns="http://schemas.openxmlformats.org/spreadsheetml/2006/main">
  <c r="C79" i="1" l="1"/>
  <c r="C109" i="1"/>
  <c r="C186" i="1"/>
  <c r="C274" i="1"/>
  <c r="C309" i="1"/>
  <c r="C314" i="1"/>
  <c r="C340" i="1"/>
  <c r="C412" i="1"/>
  <c r="C425" i="1"/>
  <c r="C433" i="1"/>
  <c r="C452" i="1"/>
  <c r="C463" i="1"/>
</calcChain>
</file>

<file path=xl/sharedStrings.xml><?xml version="1.0" encoding="utf-8"?>
<sst xmlns="http://schemas.openxmlformats.org/spreadsheetml/2006/main" count="3964" uniqueCount="3061">
  <si>
    <t>imageName</t>
  </si>
  <si>
    <t>VisType</t>
  </si>
  <si>
    <t>rawUserComments</t>
  </si>
  <si>
    <t>humanCuratedPhrases</t>
  </si>
  <si>
    <t>finalPhrases</t>
  </si>
  <si>
    <t>n_obj</t>
  </si>
  <si>
    <t>n_attr</t>
  </si>
  <si>
    <t>n_rel</t>
  </si>
  <si>
    <t>objects</t>
  </si>
  <si>
    <t>attributes</t>
  </si>
  <si>
    <t>relationships</t>
  </si>
  <si>
    <t>whoO06_2.png</t>
  </si>
  <si>
    <t>Bar</t>
  </si>
  <si>
    <t>has a title and legend</t>
  </si>
  <si>
    <t>title/axis/label/descriptions; too much legend</t>
  </si>
  <si>
    <t>labels/axes/legends</t>
  </si>
  <si>
    <t>legend --&gt; furniture.legend [legend] | title --&gt; text.title [title]</t>
  </si>
  <si>
    <t>increases_perceived_complexity @ legend (furniture.legend) [+] | aids_quick_interpretation @ title (text.title) [-]</t>
  </si>
  <si>
    <t>legend(furniture.legend) --adds_complexity_relative_to--&gt; title(text.title) [+]</t>
  </si>
  <si>
    <t>visMost97.png</t>
  </si>
  <si>
    <t>Area</t>
  </si>
  <si>
    <t>uses common knowledge, is easy to understand, has distinguished/distinctive colors, and presents simple information.</t>
  </si>
  <si>
    <t>simple information; familiar representation; color variety/arrangement/distribution; easy to interpret/read/understand</t>
  </si>
  <si>
    <t>color variety/shading; domain-specific concepts (e.g., chemical, biology, map); easy/hard to interpret; much/little data/info</t>
  </si>
  <si>
    <t>chart --&gt; whole.visualization [overall] | color_encoding --&gt; property.color [data_area] | data_content --&gt; content.data [data_area]</t>
  </si>
  <si>
    <t>simple_information @ data_content (content.data) [-] | common_knowledge_domain @ data_content (content.data) [-] | distinguished_distinctive_colors @ color_encoding (property.color) [-] | easy_to_understand @ chart (whole.visualization) [-]</t>
  </si>
  <si>
    <t>color_encoding(property.color) --aids_interpretation(raw:aids_interpretation_of)--&gt; data_content(content.data) [-] | data_content(content.data) --requires_minimal_cognitive_load--&gt; chart(whole.visualization) [-]</t>
  </si>
  <si>
    <t>wsj135.png</t>
  </si>
  <si>
    <t>Left one is just a time scale with 2 data sets in same scale, diferent colors and aligment makes it easy to understand.; The other image is more easier to read and understand</t>
  </si>
  <si>
    <t>much/more data/info/info spread; scale difference; shape arrangement; color variety/arrangement/distribution; easier to interpret/read/understand; easy to interpret/read/understand</t>
  </si>
  <si>
    <t>color variety/shading; easy/hard to interpret; much/little data/info; scale difference; shapes and lines</t>
  </si>
  <si>
    <t>chart --&gt; whole.visualization [overall] | time_axis --&gt; furniture.axes [axes] | dataset_1 --&gt; content.data [data_area] | dataset_2 --&gt; content.data [data_area] | color_encoding --&gt; property.color [legend]</t>
  </si>
  <si>
    <t>time_scale_present @ time_axis (furniture.axes) [-] | alignment_ambiguous @ chart (whole.visualization) [+] | easy_to_understand @ chart (whole.visualization) [-] | different_colors_used @ color_encoding (property.color) [-]</t>
  </si>
  <si>
    <t>dataset_1(content.data) --distinguished_from--&gt; dataset_2(content.data) [-] | dataset_1(content.data) --shares_time_axis_with--&gt; dataset_2(content.data) [-]</t>
  </si>
  <si>
    <t>InfoVisC.133.5(3).png</t>
  </si>
  <si>
    <t>Node-link</t>
  </si>
  <si>
    <t>Both of these images are a bit complex.; - element size - number of details - complexity of shapes and contrasts; The complexity of the information conveyed in the right image seems a lot more than the left image. There are several factors to understand in the right image. overlapping/intersecting lines; Volume of information; Spread of information on the image; Data interpretation; Time to evaluate context</t>
  </si>
  <si>
    <t>more detailed/things; element sizes; shapes and contrasts</t>
  </si>
  <si>
    <t>color contrast/clarity; much/little data/info; shapes and lines</t>
  </si>
  <si>
    <t>chart --&gt; whole.visualization [overall] | data_elements --&gt; content.data [data_area] | shapes --&gt; mark.shape [data_area]</t>
  </si>
  <si>
    <t>low_detail_count @ chart (whole.visualization) [-] | large_element_size @ data_elements (content.data) [-] | varied_shapes_present @ shapes (mark.shape) [+] | high_contrast_marks @ shapes (mark.shape) [+]</t>
  </si>
  <si>
    <t>shapes(mark.shape) --increases_complexity(raw:increases_visual_complexity_of)--&gt; chart(whole.visualization) [+] | data_elements(content.data) --reduces_clutter_in--&gt; chart(whole.visualization) [-]</t>
  </si>
  <si>
    <t>SciVisJ.1025.11.png</t>
  </si>
  <si>
    <t>Point</t>
  </si>
  <si>
    <t>Lots of inscription with details, several measurements on the same graph, numbers; There are more colours in this image and it is displaying more data; -number of information -color contrast; less text; more information and nuances transportet through the picture.; Compared to the other one its a bit more complex</t>
  </si>
  <si>
    <t>many measurements; more detailed/things; much/more data/info/info spread; information nuance expressed; amount of words/context/numbers; detailed inscription; little/less text/numbers/context; color variety/arrangement/distribution; low color contrast/separation/segmentation</t>
  </si>
  <si>
    <t>amount of words/context/numbers; color contrast/clarity; color variety/shading; domain-specific concepts (e.g., chemical, biology, map); little/less text/numbers/context; much/little data/info; word rotation/small font size</t>
  </si>
  <si>
    <t>text_labels --&gt; text.label [overall] | measurements --&gt; content.number [axes] | numbers --&gt; content.number [data_area] | data_elements --&gt; content.data [data_area] | colors --&gt; property.color [overall]</t>
  </si>
  <si>
    <t>lots_of_inscriptions @ text_labels (text.label) [+] | detailed_annotations @ text_labels (text.label) [+] | sparse_text_present @ text_labels (text.label) [+] | several_measurements_shown @ measurements (content.number) [+] | numeric_labels_present @ numbers (content.number) [+] | high_information_volume @ data_elements (content.data) [+] | nuanced_data_content @ data_elements (content.data) [+] | more_data_points @ data_elements (content.data) [+] | multiple_colors_used @ colors (property.color) [+] | high_color_contrast @ colors (property.color) [-]</t>
  </si>
  <si>
    <t>text_labels(text.label) --increases_effort(raw:increases_cognitive_load)--&gt; data_elements(content.data) [+] | numbers(content.number) --contributes_to_clutter_in--&gt; measurements(content.number) [+] | colors(property.color) --aids_differentiation_of--&gt; data_elements(content.data) [-] | measurements(content.number) --adds_detail_to--&gt; data_elements(content.data) [+]</t>
  </si>
  <si>
    <t>InfoVisJ.619.17.png</t>
  </si>
  <si>
    <t>this is visually complex because the dots are everywhere not in exact locations spread around seems cluttered; the other photo seems easier to figure out- but was tough to decide</t>
  </si>
  <si>
    <t>dense/cluttered data/info; more charts/points/lines/shapes/elements; much/more data/info/info spread; easier to interpret/read/understand</t>
  </si>
  <si>
    <t>easy/hard to interpret; more charts/points/lines/shapes/elements; much/little data/info; overlapping shapes/colors/lines</t>
  </si>
  <si>
    <t>dots --&gt; mark.point [data_area] | layout --&gt; structure.layout [overall]</t>
  </si>
  <si>
    <t>scattered_everywhere @ dots (mark.point) [+] | spread_around @ dots (mark.point) [+] | cluttered_appearance @ layout (structure.layout) [+] | easier_to_figure_out @ layout (structure.layout) [-]</t>
  </si>
  <si>
    <t>dots(mark.point) --contributes_to--&gt; layout(structure.layout) [+]</t>
  </si>
  <si>
    <t>economist_daily_chart_165.png</t>
  </si>
  <si>
    <t>The left image is simpler than the other one because its data are easier to see them, at least, in my opinion.; The highlighted image has a lot of details to read and requires concentration to pay attention to all the data in it (the 'other one' compared to the circle image).; contains more information mix several colors; the size of the graphics; more detailsï¼›couldnt`see the content; neither is very complex, but comparatively the one on the left is more visually complex as it requires reading; The most important is to understand the topic, what I am looking at. Then the quality of the picture has to be reasonably good, with distinct colours and clear text.; 2D; understandable visual; - how organised/disorganised was the picture - how many type of entities they were - numbers on entities - numbers of unique shapes/colors</t>
  </si>
  <si>
    <t>more detailed/things; much/more data/info/info spread; 2D/3D; clear title/axis/label; color variety/arrangement/distribution; attention/squinting to understand; easier to see/tell/visualize; easy to interpret/read/understand; more reading/interpretation/understanding; not interpretable/readable/understandable</t>
  </si>
  <si>
    <t>2D/3D; color variety/shading; easy/hard to interpret; labels/axes/legends; much/little data/info; take longer to interpret</t>
  </si>
  <si>
    <t>chart --&gt; whole.visualization [overall] | data_elements --&gt; content.data [data_area] | color_encoding --&gt; property.color [data_area] | text_labels --&gt; text.label [axes] | legend --&gt; furniture.legend [legend] | title --&gt; text.title [title]</t>
  </si>
  <si>
    <t>contains_more_information @ chart (whole.visualization) [+] | two_dimensional_layout @ chart (whole.visualization) [-] | understandable_visual @ chart (whole.visualization) [-] | requires_concentration @ chart (whole.visualization) [+] | lot_of_details @ data_elements (content.data) [+] | more_details_present @ data_elements (content.data) [+] | data_easier_to_see @ data_elements (content.data) [-] | content_hard_to_see @ data_elements (content.data) [+] | mixes_several_colors @ color_encoding (property.color) [+] | distinct_colors_used @ color_encoding (property.color) [+] | requires_reading @ text_labels (text.label) [+] | clear_text @ text_labels (text.label) [-]</t>
  </si>
  <si>
    <t>color_encoding(property.color) --encodes_variation_in--&gt; data_elements(content.data) [+] | text_labels(text.label) --adds_reading_burden_to--&gt; chart(whole.visualization) [+] | data_elements(content.data) --contributes_detail_to--&gt; chart(whole.visualization) [+] | title(text.title) --aids_interpretation(raw:aids_interpretation_of)--&gt; chart(whole.visualization) [-]</t>
  </si>
  <si>
    <t>InfoVisJ.1558.11(3).png</t>
  </si>
  <si>
    <t>Glyph</t>
  </si>
  <si>
    <t>the other one i have no context to what its about; The swirling pattern of the dots, along with the colours, make it appear more complex.</t>
  </si>
  <si>
    <t>lack of/not enough axis labels/legend/annotations/context</t>
  </si>
  <si>
    <t>visualization --&gt; whole.visualization [overall]</t>
  </si>
  <si>
    <t>lacks_contextual_information @ visualization (whole.visualization) [+] | requires_external_knowledge @ visualization (whole.visualization) [+] | ambiguous_without_context @ visualization (whole.visualization) [+]</t>
  </si>
  <si>
    <t>VisJ.1499.8.png</t>
  </si>
  <si>
    <t>more information to actually think about; number of points/shapes</t>
  </si>
  <si>
    <t>much/more data/info/info spread; number of levels</t>
  </si>
  <si>
    <t>2D/3D; much/little data/info</t>
  </si>
  <si>
    <t>chart --&gt; whole.visualization [overall] | data_points --&gt; mark.point [data_area] | information_content --&gt; content.data [overall]</t>
  </si>
  <si>
    <t>low_number_of_points @ data_points (mark.point) [-] | requires_more_thinking @ information_content (content.data) [+]</t>
  </si>
  <si>
    <t>information_content(content.data) --increases_cognitive_demand_of--&gt; chart(whole.visualization) [+] | data_points(mark.point) --limited_quantity_reduces_clutter_in--&gt; chart(whole.visualization) [-]</t>
  </si>
  <si>
    <t>wsj603.png</t>
  </si>
  <si>
    <t>Line</t>
  </si>
  <si>
    <t>had many small details like the small ups and downs. There are much more information; The one on the right seems like it's fairly easy to read; There were more colours in the image on the left. The shapes and lines were more complex; Comprehensibility Readability</t>
  </si>
  <si>
    <t>fine/layered details; much/more data/info/info spread; shapes and lines; color variety/arrangement/distribution; easy to interpret/read/understand</t>
  </si>
  <si>
    <t>color variety/shading; easy/hard to interpret; much/little data/info; shapes and lines</t>
  </si>
  <si>
    <t>lines --&gt; mark.line [data_area] | shapes --&gt; mark.shape [data_area] | color_scheme --&gt; property.color [overall] | small_details --&gt; content.detail [data_area] | information_content --&gt; content.data [overall]</t>
  </si>
  <si>
    <t>multiple_lines_present @ lines (mark.line) [+] | varied_shape_marks @ shapes (mark.shape) [+] | more_colors_used @ color_scheme (property.color) [+] | many_small_details @ small_details (content.detail) [+] | high_information_volume @ information_content (content.data) [+] | fairly_easy_to_read @ information_content (content.data) [-]</t>
  </si>
  <si>
    <t>lines(mark.line) --combined_with--&gt; shapes(mark.shape) [+] | small_details(content.detail) --contributes_to--&gt; information_content(content.data) [+] | color_scheme(property.color) --increases_complexity(raw:increases_complexity_of)--&gt; information_content(content.data) [+]</t>
  </si>
  <si>
    <t>whoQ44_4.png</t>
  </si>
  <si>
    <t>1. More numbers presented 2. Lots of different variables 3. Large numbers 4. Different colors; more information; more colours, more forms; There are more variations of shade; more information is portrayed; the shapes are more complex.; The number of different graphic elements; clear and clean; has numbers and legend; data in different formats; It is much easier to read the second graph.; Readability: the colours in the orange highlight are difficult to tell apart, which makes reading the data more difficult at a glance.; but in the second graphic I could undersant easly what is about it; Small numbers</t>
  </si>
  <si>
    <t>more charts/points/lines/shapes/elements; more parameters/variables; much/more data/info/info spread; organized/structured; curves and shapes; more forms; amount of words/context/numbers; readability; too much legend; word rotation/small font size; unfamiliar concepts/patterns; color variety/arrangement/distribution; lack of color contrast / hard to distinguish colors; easier to interpret/read/understand; easier to process/visualize; easy to interpret/read/understand; more difficult to interpret/read/understand/differentiate</t>
  </si>
  <si>
    <t>2D/3D; amount of words/context/numbers; color contrast/clarity; color variety/shading; domain-specific concepts (e.g., chemical, biology, map); easy/hard to interpret; labels/axes/legends; more charts/points/lines/shapes/elements; more parameters/variables; much/little data/info; shapes and lines; word rotation/small font size</t>
  </si>
  <si>
    <t>chart --&gt; whole.visualization [overall] | graphic_elements --&gt; mark.element [data_area] | colors --&gt; property.color [data_area] | legend --&gt; furniture.legend [legend] | numbers --&gt; content.number [data_area] | variables --&gt; content.data [data_area] | shapes --&gt; mark.shape [data_area]</t>
  </si>
  <si>
    <t>data_in_different_format @ chart (whole.visualization) [+] | more_information_present @ chart (whole.visualization) [+] | clear_and_clean_layout @ chart (whole.visualization) [-] | quicker_easier_to_process @ chart (whole.visualization) [-] | easier_to_read @ chart (whole.visualization) [-] | understand_easily_what_about @ chart (whole.visualization) [-] | reading_data_more_difficult @ chart (whole.visualization) [+] | reduced_readability @ chart (whole.visualization) [+] | high_number_of_elements @ graphic_elements (mark.element) [+] | more_forms_present @ graphic_elements (mark.element) [+] | difficult_to_tell_apart @ colors (property.color) [+] | variations_of_shade @ colors (property.color) [+] | more_colors_used @ colors (property.color) [+] | different_colors_present @ colors (property.color) [+] | legend_adds_complexity @ legend (furniture.legend) [+] | small_numbers_present @ numbers (content.number) [-] | large_numbers_present @ numbers (content.number) [+] | lots_of_variables @ variables (content.data) [+] | shapes_more_complex @ shapes (mark.shape) [+]</t>
  </si>
  <si>
    <t>graphic_elements(mark.element) --increases_visual_clutter_in--&gt; chart(whole.visualization) [+] | colors(property.color) --complicates_interpretation_of--&gt; legend(furniture.legend) [+] | variables(content.data) --adds_cognitive_load_to--&gt; chart(whole.visualization) [+] | shapes(mark.shape) --increases_encoding_complexity_in--&gt; chart(whole.visualization) [+] | numbers(content.number) --contributes_to_readability_of--&gt; chart(whole.visualization) [-]</t>
  </si>
  <si>
    <t>SciVisJ.2926.1.png</t>
  </si>
  <si>
    <t>Cont.-ColorPatn</t>
  </si>
  <si>
    <t>I don't know what it presents. So it starts with some level of complexity.</t>
  </si>
  <si>
    <t>unclear meaning/confusing</t>
  </si>
  <si>
    <t>unclear_content_meaning @ visualization (whole.visualization) [+] | high_interpretive_difficulty @ visualization (whole.visualization) [+] | requires_domain_knowledge @ visualization (whole.visualization) [+]</t>
  </si>
  <si>
    <t>VisJ.1515.12.png</t>
  </si>
  <si>
    <t>it was harder for my eyes to focus on the colours in this picture making it harder to adjust and see the colours.; the contrast of the colors is really weird and it doesnt make sense; Colour coded for separating facts; more lines, making it more difficult to identify differences in the information presented; i have no idea what is going on. i cannot make sense of it; I didn't understand what the left image was demonstrating; i have more dificulty to read this image for me.i don't know what to say; really don't understand this one; Processing information is not possible on the selected image; no context; too dark; Hard measure; Hard to find exact feature; I was looking for images that made sense to me, in terms of how I would retrieve data, the orange highlighted one gave me no further information; the image is not as understandable in terms of shapes and what it resembles</t>
  </si>
  <si>
    <t>more charts/points/lines/shapes/elements; exact feature; no more information; representation; understand/read shapes; lack of/not enough axis labels/legend/annotations/context; unfamiliar concepts/patterns; low color contrast/separation/segmentation; unclear coloring; unclear colormaps; unclear colors/contrast; hard to compare/discern/distinguish; hard to identify/extract/find features; hard to measure/model; less understandable; more difficult to focus/follow; not interpretable/readable/understandable</t>
  </si>
  <si>
    <t>color contrast/clarity; domain-specific concepts (e.g., chemical, biology, map); easy/hard to interpret; labels/axes/legends; more charts/points/lines/shapes/elements; more difficult to focus/follow; much/little data/info; shapes and lines; unclear colors/contrast; understand/read shapes</t>
  </si>
  <si>
    <t>lines --&gt; mark.line [data_area] | shapes --&gt; mark.shape [data_area] | colors --&gt; property.color [overall] | legend --&gt; furniture.legend [legend] | labels --&gt; text.label [axes] | background --&gt; structure.background [overall]</t>
  </si>
  <si>
    <t>multiple_lines_present @ lines (mark.line) [+] | difficult_to_differentiate @ lines (mark.line) [+] | ambiguous_shape_encoding @ shapes (mark.shape) [+] | unclear_resemblance @ shapes (mark.shape) [+] | color_coded_separation @ colors (property.color) [-] | weird_color_contrast @ colors (property.color) [+] | hard_to_focus_eyes @ colors (property.color) [+] | provides_no_context @ legend (furniture.legend) [+] | gives_no_further_information @ legend (furniture.legend) [+] | hard_to_find_features @ labels (text.label) [+] | measure_not_clear @ labels (text.label) [+] | too_dark @ background (structure.background) [+]</t>
  </si>
  <si>
    <t>colors(property.color) --causes_difficulty_identifying--&gt; lines(mark.line) [+] | background(structure.background) --increases_visual_strain_on--&gt; colors(property.color) [+] | legend(furniture.legend) --fails_to_clarify--&gt; shapes(mark.shape) [+] | lines(mark.line) --contributes_to_clutter_with--&gt; shapes(mark.shape) [+] | labels(text.label) --lacks(raw:lacks_context_for)--&gt; lines(mark.line) [+]</t>
  </si>
  <si>
    <t>v487_n7406_7_f3.png</t>
  </si>
  <si>
    <t>There are more colors and more details all mixed up to scrutinize on the orange highlight image. Datas printed on orange highlight image seem more difficult to understand.</t>
  </si>
  <si>
    <t>messy/mixed up/noisy/intermingled elements; more detailed/things; color variety/arrangement/distribution; more difficult to interpret/read/understand/differentiate</t>
  </si>
  <si>
    <t>color variety/shading; easy/hard to interpret; much/little data/info; overlapping shapes/colors/lines</t>
  </si>
  <si>
    <t>chart --&gt; whole.visualization [overall] | color_scheme --&gt; property.color [data_area] | details --&gt; content.detail [data_area] | layout --&gt; structure.layout [overall]</t>
  </si>
  <si>
    <t>multiple_colors_present @ color_scheme (property.color) [+] | high_detail_density @ details (content.detail) [+] | mixed_up_arrangement @ layout (structure.layout) [+] | difficult_to_understand @ chart (whole.visualization) [+]</t>
  </si>
  <si>
    <t>color_scheme(property.color) --increases_clutter_in--&gt; chart(whole.visualization) [+] | details(content.detail) --contributes_to_difficulty_of--&gt; chart(whole.visualization) [+] | layout(structure.layout) --appears_mixed_up_within--&gt; chart(whole.visualization) [+]</t>
  </si>
  <si>
    <t>SciVisJ.980.12(2).png</t>
  </si>
  <si>
    <t>The most important is to understand the topic, what I am looking at. Then the quality of the picture has to be reasonably good, with distinct colours and clear text.</t>
  </si>
  <si>
    <t>clear title/axis/label; color variety/arrangement/distribution</t>
  </si>
  <si>
    <t>color variety/shading; labels/axes/legends</t>
  </si>
  <si>
    <t>text_labels --&gt; text.label [axes] | color_encoding --&gt; property.color [data_area]</t>
  </si>
  <si>
    <t>clear_and_legible @ text_labels (text.label) [-] | distinct_color_variety @ color_encoding (property.color) [+]</t>
  </si>
  <si>
    <t>color_encoding(property.color) --differentiates(raw:contrasts_with)--&gt; text_labels(text.label) [+]</t>
  </si>
  <si>
    <t>SciVisJ.1236.10.png</t>
  </si>
  <si>
    <t>Grid</t>
  </si>
  <si>
    <t>The amount of pixels and colors also with different patterns and partly mixed up seemed more intense on the right side. Also the text abpve the pixel add up to it being more complex to me.; Number of square. Variety of data in every square. convey much more data.; On the contrary the left image is clear, it shows everything by columns and rows which is easier to visualize.; The more complex image needs to be studied more intently to make sense of.; I have no idea what Image 1 is; it makes me curious what it means and the colors seem to have some sort of meaning.; I dont understand at all the image selected, neither the graphics nor the data. I have never seen something similar.; The image with the orange box has 1. different shapes and sizes of blurred purple and green boxes 2. labels are top are confusing to decode; The meaning of the code which i don't understand</t>
  </si>
  <si>
    <t>many/more data/info; more charts/points/lines/shapes/elements; shape size variation; unclear meaning; title/axis/label/descriptions; domain-specific concepts (e.g., chemical, biology, map); no context or reference; unfamiliar concepts/patterns; blurry colors/images; unclear meaning/confusing; easier to process/visualize; more effort/reading/detailed analysis; not interpretable/readable/understandable</t>
  </si>
  <si>
    <t>blurry colors/images; domain-specific concepts (e.g., chemical, biology, map); easy/hard to interpret; labels/axes/legends; more charts/points/lines/shapes/elements; shapes and lines; take longer to interpret; unclear meaning/confusing</t>
  </si>
  <si>
    <t>grid --&gt; structure.grid [data_area] | squares --&gt; mark.shape [data_area] | colors --&gt; property.color [data_area] | labels --&gt; text.label [axes] | columns_and_rows --&gt; structure.grid [overall]</t>
  </si>
  <si>
    <t>different_shapes_and_sizes @ squares (mark.shape) [+] | blurred_appearance @ squares (mark.shape) [+] | high_quantity_of_squares @ squares (mark.shape) [+] | variety_of_data_within @ squares (mark.shape) [+] | purple_and_green_hues @ colors (property.color) [+] | colors_carry_meaning @ colors (property.color) [+] | aids_interpretation @ labels (text.label) [-] | structured_layout @ columns_and_rows (structure.grid) [-] | requires_domain_knowledge @ grid (structure.grid) [+] | unfamiliar_visualization_type @ grid (structure.grid) [+] | needs_intense_study @ grid (structure.grid) [+]</t>
  </si>
  <si>
    <t>columns_and_rows(structure.grid) --makes_easier_to_visualize--&gt; grid(structure.grid) [-] | colors(property.color) --encodes_unclear_meaning_in--&gt; squares(mark.shape) [+] | labels(text.label) --partially_clarifies--&gt; squares(mark.shape) [-] | squares(mark.shape) --contributes_to_clutter_in--&gt; grid(structure.grid) [+]</t>
  </si>
  <si>
    <t>v483_n7391_8_f5.png</t>
  </si>
  <si>
    <t>The graph is something I am unfamiliar with, it is harder to read and understand, and it is visually more striking.; as a coloured surface, which is harder to discern; contains more information; Too many similar colours, and axis; A lot of data; More colors; More numbers; The data in the chosen picture are more difficult to read. The graph itself seems conveying more data; The other image has an order; require a more specialized education to understand.; the left has more details and displayed via a bar chart - more simple. It is harder to read.; there are more colors, more information to look at, the lines are wavy and not straightforward; Much more data on the graph than just words.; The image in orange could be anything â€” an individual without specialized knowledge would be clueless as to what it is. Multiple data points in the image in orange. To the human eye it is more complex: whereas most graphs have two axes (as in the seismic graph), the orange image has four axes and is more difficult to understand based on the results presented.; I feel like the left seems pretty organized and easy to understand, also the colors on both side left are identical, which makes it less complex for me. It's structured.; four labelled axes; separate colour scale; Both have 3 variables; the right one representing one variable with a heat map makes it easier for me to understand at a glance. Curve lines limiting the heat map also helps.</t>
  </si>
  <si>
    <t>more charts/points/lines/shapes/elements; more detailed/things; much/more data/info/info spread; multiple features/elements/graphs; organized/structured; curved lines; indistinguishable/unintuitive lines; ordered; single variable; more axes; more numbers; title/axis/label/descriptions; word/text/sentence; a specific technique; a specific technique, e.g., bar, pie, circle; domain-specific concepts (e.g., chemical, biology, map); unfamiliar concepts/patterns; color variety/arrangement/distribution; colored surface; lack of color contrast / hard to distinguish colors; separate color scales; visually striking; easy to interpret/read/understand; hard to interpret/read/understand/differentiate; more difficult to compare/discern/distinguish; more difficult to interpret/read/understand/differentiate; not interpretable/readable/understandable; require specialized knowledge</t>
  </si>
  <si>
    <t>2D/3D; amount of words/context/numbers; color contrast/clarity; color variety/shading; distracting/confusing/unclear; domain-specific concepts (e.g., chemical, biology, map); easy/hard to interpret; labels/axes/legends; more charts/points/lines/shapes/elements; much/little data/info; ordered; shapes and lines; take longer to interpret</t>
  </si>
  <si>
    <t>colored_surface --&gt; mark.area [data_area] | color_scale --&gt; property.color [legend] | axes --&gt; furniture.axes [axes] | axis_labels --&gt; text.axis_label [axes] | data_points --&gt; mark.point [data_area] | curve_lines --&gt; mark.line [data_area] | text_labels --&gt; text.label [axes]</t>
  </si>
  <si>
    <t>visually_striking_surface @ colored_surface (mark.area) [+] | difficult_to_read @ colored_surface (mark.area) [+] | conveys_more_data @ colored_surface (mark.area) [+] | harder_to_discern @ colored_surface (mark.area) [+] | separate_color_scale @ color_scale (property.color) [+] | too_many_similar_colors @ color_scale (property.color) [+] | more_colors_present @ color_scale (property.color) [+] | identical_colors_both_sides @ color_scale (property.color) [+] | four_labeled_axes @ axes (furniture.axes) [+] | more_axes_present @ axes (furniture.axes) [+] | axis_aids_orientation @ axes (furniture.axes) [-] | more_numbers_present @ axis_labels (text.axis_label) [+] | words_aid_reading @ axis_labels (text.axis_label) [-] | multiple_data_points @ data_points (mark.point) [+] | much_more_data @ data_points (mark.point) [+] | more_details_present @ data_points (mark.point) [+] | lines_not_straightforward @ curve_lines (mark.line) [+] | curve_lines_simple @ curve_lines (mark.line) [-] | requires_specialized_education @ colored_surface (mark.area) [+] | unfamiliar_chart_type @ colored_surface (mark.area) [+] | more_difficult_to_understand @ colored_surface (mark.area) [+] | organized_structured_layout @ colored_surface (mark.area) [-] | easy_to_understand @ colored_surface (mark.area) [-] | understand_at_a_glance @ colored_surface (mark.area) [-]</t>
  </si>
  <si>
    <t>colored_surface(mark.area) --encoded_with--&gt; color_scale(property.color) [+] | colored_surface(mark.area) --bounded_by--&gt; axes(furniture.axes) [+] | axes(furniture.axes) --labeled_with--&gt; axis_labels(text.axis_label) [+] | colored_surface(mark.area) --contains--&gt; data_points(mark.point) [+] | colored_surface(mark.area) --overlaid_with--&gt; curve_lines(mark.line) [+] | color_scale(property.color) --increases_clutter_of--&gt; colored_surface(mark.area) [+]</t>
  </si>
  <si>
    <t>InfoVisJ.2699.12.png</t>
  </si>
  <si>
    <t>less white space; red colours amongst lots of black overlapping lines; straight lines, dots, colour and shapes used</t>
  </si>
  <si>
    <t>less empty space; overlapping shapes/colors/lines; shapes; shapes and lines; straight lines; unclear colormaps</t>
  </si>
  <si>
    <t>color contrast/clarity; overlapping shapes/colors/lines; shapes and lines</t>
  </si>
  <si>
    <t>white_space --&gt; structure.background [overall] | lines --&gt; mark.line [data_area] | dots --&gt; mark.point [data_area] | shapes --&gt; mark.shape [data_area] | red_colors --&gt; property.color [data_area]</t>
  </si>
  <si>
    <t>reduced_white_space @ white_space (structure.background) [+] | high_overlap_density @ lines (mark.line) [+] | straight_line_encoding @ lines (mark.line) [-] | simple_point_marks @ dots (mark.point) [-] | varied_shape_types @ shapes (mark.shape) [+] | prominent_red_coloring @ red_colors (property.color) [+]</t>
  </si>
  <si>
    <t>lines(mark.line) --overlaps_with--&gt; lines(mark.line) [+] | shapes(mark.shape) --increases_clutter_over--&gt; dots(mark.point) [+] | red_colors(property.color) --visually_dominates--&gt; lines(mark.line) [+]</t>
  </si>
  <si>
    <t>VisJ.1197.5(3).png</t>
  </si>
  <si>
    <t>There are a lot of layers of shapes/details. This complexity of texture is stimulating. Quantity of items in the image.; so many cube -&gt; difficult to visualize; the image on the right I see no context whatsoever.; The one on the right has 3 dimensions, so it looks like it's showing more data and more complexity.</t>
  </si>
  <si>
    <t>fine/layered details; more charts/points/lines/shapes/elements; shapes; no context or reference; visually stimulating  texture/colors; hard to see/tell/visualize</t>
  </si>
  <si>
    <t>domain-specific concepts (e.g., chemical, biology, map); easy/hard to interpret; more charts/points/lines/shapes/elements; much/little data/info; shapes and lines; symbols</t>
  </si>
  <si>
    <t>cubes --&gt; mark.shape [data_area] | layers --&gt; structure.layout [data_area] | texture --&gt; property.texture [overall] | context --&gt; content.domain [overall]</t>
  </si>
  <si>
    <t>large_quantity_of_cubes @ cubes (mark.shape) [+] | difficult_to_visualize @ cubes (mark.shape) [+] | high_item_quantity @ cubes (mark.shape) [+] | layered_shapes_and_details @ layers (structure.layout) [+] | overlapping_shape_complexity @ layers (structure.layout) [+] | visually_stimulating_texture @ texture (property.texture) [+] | no_context_provided @ context (content.domain) [+] | absence_aids_simplicity @ context (content.domain) [-]</t>
  </si>
  <si>
    <t>cubes(mark.shape) --arranged_in--&gt; layers(structure.layout) [+] | layers(structure.layout) --contributes_to--&gt; texture(property.texture) [+] | context(content.domain) --increases_ambiguity(raw:increases_ambiguity_of)--&gt; cubes(mark.shape) [+]</t>
  </si>
  <si>
    <t>whoQ50_2.png</t>
  </si>
  <si>
    <t>Image 1 I would say is most important because it can easily be read.</t>
  </si>
  <si>
    <t>easy to read</t>
  </si>
  <si>
    <t>easy/hard to interpret</t>
  </si>
  <si>
    <t>easily_readable_content @ visualization (whole.visualization) [-]</t>
  </si>
  <si>
    <t>VisC.503.6.png</t>
  </si>
  <si>
    <t>The graph has more information and looks complex. The bar graphs look more important than the circle graphs. It looks more professional than the other graph. There is more detail surrounding the graph for better understanding</t>
  </si>
  <si>
    <t>a specific technique, e.g., bar, pie, circle; easy to interpret/read/understand</t>
  </si>
  <si>
    <t>domain-specific concepts (e.g., chemical, biology, map); easy/hard to interpret</t>
  </si>
  <si>
    <t>bar_graph --&gt; whole.visualization [data_area] | circle_graph --&gt; whole.visualization [data_area]</t>
  </si>
  <si>
    <t>increases_visual_complexity @ bar_graph (whole.visualization) [+] | simple_circular_form @ circle_graph (whole.visualization) [-] | easy_to_understand @ circle_graph (whole.visualization) [-]</t>
  </si>
  <si>
    <t>bar_graph(whole.visualization) --combined_with--&gt; circle_graph(whole.visualization) [+]</t>
  </si>
  <si>
    <t>InfoVisC.211.18.png</t>
  </si>
  <si>
    <t>Bar graph is incredibly simple</t>
  </si>
  <si>
    <t>a specific technique, e.g., bar, pie, circle; simple to interpret/read/understand</t>
  </si>
  <si>
    <t>bar_graph --&gt; whole.visualization [overall]</t>
  </si>
  <si>
    <t>familiar_chart_type @ bar_graph (whole.visualization) [-] | very_low_complexity @ bar_graph (whole.visualization) [-]</t>
  </si>
  <si>
    <t>whoJ44.png</t>
  </si>
  <si>
    <t>data shown as lines; contains less information</t>
  </si>
  <si>
    <t>little data/info; lines</t>
  </si>
  <si>
    <t>much/little data/info; shapes and lines</t>
  </si>
  <si>
    <t>chart --&gt; whole.visualization [overall] | lines --&gt; mark.line [data_area]</t>
  </si>
  <si>
    <t>less_information_present @ chart (whole.visualization) [-] | multiple_lines_present @ lines (mark.line) [+]</t>
  </si>
  <si>
    <t>lines(mark.line) --increases_clutter_in--&gt; chart(whole.visualization) [+]</t>
  </si>
  <si>
    <t>InfoVisJ.2402.12(1).png</t>
  </si>
  <si>
    <t>1. i felt like this cotains a multitude of observations 2. differnent sizes/figures 3. different colors; the left side looks like a complex image generated by some sort of light detection or graphing software that i am not familiar with.; their actions and use their size growing small as they go down</t>
  </si>
  <si>
    <t>more charts/points/lines/shapes/elements; shape size variation; size decreasing; unfamiliar concepts/patterns; color variety/arrangement/distribution</t>
  </si>
  <si>
    <t>color variety/shading; domain-specific concepts (e.g., chemical, biology, map); more charts/points/lines/shapes/elements; shapes and lines</t>
  </si>
  <si>
    <t>data_points --&gt; mark.point [data_area] | size_encoding --&gt; property.encoding [data_area] | color_encoding --&gt; property.color [data_area] | chart_type --&gt; whole.visualization [overall]</t>
  </si>
  <si>
    <t>size_varies_small_to_large @ size_encoding (property.encoding) [-] | multiple_colors_distributed @ color_encoding (property.color) [+] | unfamiliar_chart_form @ chart_type (whole.visualization) [+] | multitude_of_observations @ data_points (mark.point) [+] | different_sizes_and_figures @ size_encoding (property.encoding) [+] | different_colors_present @ color_encoding (property.color) [-]</t>
  </si>
  <si>
    <t>size_encoding(property.encoding) --encodes_variation_via--&gt; color_encoding(property.color) [+] | data_points(mark.point) --rendered_with--&gt; size_encoding(property.encoding) [+] | chart_type(whole.visualization) --requires_expertise(raw:requires_domain_knowledge_for)--&gt; data_points(mark.point) [+]</t>
  </si>
  <si>
    <t>wsj340.png</t>
  </si>
  <si>
    <t>The right image is a chart with a title, description, labels and coloured segments, therefore it doesn't need to do as much visually.; 1. Variety and Density of Elements, 2.Level of Detail 3. Depth and Dimensionality and 4.Interconnectedness of Elements.</t>
  </si>
  <si>
    <t>description; title/axis/label/descriptions; a specific technique, e.g., bar, pie, circle; good color contrast/separation/segmentation; easy to interpret/read/understand</t>
  </si>
  <si>
    <t>color contrast/clarity; domain-specific concepts (e.g., chemical, biology, map); easy/hard to interpret; labels/axes/legends; word rotation/small font size</t>
  </si>
  <si>
    <t>chart --&gt; whole.visualization [overall] | title --&gt; text.title [title] | labels --&gt; text.label [axes] | colored_segments --&gt; mark.color_segment [data_area] | description --&gt; text.description [annotation]</t>
  </si>
  <si>
    <t>low_visual_demand @ chart (whole.visualization) [-] | clear_informative_title @ title (text.title) [-] | readable_labels_present @ labels (text.label) [-] | limited_color_segments @ colored_segments (mark.color_segment) [-] | explanatory_description_present @ description (text.description) [-]</t>
  </si>
  <si>
    <t>title(text.title) --reduces_interpretive_effort_of--&gt; chart(whole.visualization) [-] | description(text.description) --supplements_encoding_of--&gt; colored_segments(mark.color_segment) [-] | labels(text.label) --clarifies(raw:clarifies_meaning_of)--&gt; colored_segments(mark.color_segment) [-]</t>
  </si>
  <si>
    <t>VisC.167.11.png</t>
  </si>
  <si>
    <t>just a bar graph, with colours representing groups, one can get the message of the visualisation in 1-2 seconds.; ana renklerin *ok kullan*lmamas*</t>
  </si>
  <si>
    <t>a specific technique, e.g., bar, pie, circle; color represents groups; easy to interpret/read/understand</t>
  </si>
  <si>
    <t>color variety/shading; domain-specific concepts (e.g., chemical, biology, map); easy/hard to interpret</t>
  </si>
  <si>
    <t>bar_graph --&gt; whole.visualization [overall] | bars --&gt; mark.bar [data_area] | color_encoding --&gt; property.color [legend]</t>
  </si>
  <si>
    <t>familiar_chart_type @ bar_graph (whole.visualization) [-] | grouped_by_color @ bars (mark.bar) [-] | colors_represent_groups @ color_encoding (property.color) [-] | rapidly_interpretable_message @ bar_graph (whole.visualization) [-]</t>
  </si>
  <si>
    <t>bars(mark.bar) --encoded_with--&gt; color_encoding(property.color) [-] | bar_graph(whole.visualization) --enables_quick_comprehension--&gt; bars(mark.bar) [-]</t>
  </si>
  <si>
    <t>VASTJ.2908.2.png</t>
  </si>
  <si>
    <t>A lot of similar looking colors, lack of a grid so it makes it harder to look at the data points.</t>
  </si>
  <si>
    <t>no context or reference; lack of color contrast / hard to distinguish colors; harder to view data point</t>
  </si>
  <si>
    <t>color contrast/clarity; domain-specific concepts (e.g., chemical, biology, map); easy/hard to interpret</t>
  </si>
  <si>
    <t>data_points --&gt; mark.point [data_area] | color_encoding --&gt; property.color [data_area] | grid --&gt; structure.grid [data_area]</t>
  </si>
  <si>
    <t>similar_looking_colors @ color_encoding (property.color) [+] | absent_grid_lines @ grid (structure.grid) [+] | hard_to_distinguish_points @ data_points (mark.point) [+]</t>
  </si>
  <si>
    <t>color_encoding(property.color) --makes_harder_to_read--&gt; data_points(mark.point) [+] | grid(structure.grid) --absence_impedes_reading--&gt; data_points(mark.point) [+]</t>
  </si>
  <si>
    <t>InfoVisJ.1236.13.png</t>
  </si>
  <si>
    <t>The right is much harder to get grip of on many levels. Then there was also the scale and the frame with values on the right which adds up to the complexity.</t>
  </si>
  <si>
    <t>clear text/scale/information; frame with values</t>
  </si>
  <si>
    <t>2D/3D; clear text/scale/information</t>
  </si>
  <si>
    <t>frame --&gt; structure.panel [axes] | scale --&gt; furniture.scale [axes]</t>
  </si>
  <si>
    <t>provides_value_reference @ frame (structure.panel) [-] | aids_data_interpretation @ scale (furniture.scale) [-]</t>
  </si>
  <si>
    <t>scale(furniture.scale) --aids_interpretation(raw:supports_readability_of)--&gt; frame(structure.panel) [-]</t>
  </si>
  <si>
    <t>economist_daily_chart_153.png</t>
  </si>
  <si>
    <t>The blue image looks softer and more pleasant to watch so that it give an impression of being less complex. The blue image and its datas seems easier to read and comprehend.</t>
  </si>
  <si>
    <t>soft/layered/overlapping colors; visual clarity/appealing; easier to interpret/read/understand</t>
  </si>
  <si>
    <t>distracting/confusing/unclear; easy/hard to interpret; soft/layered/overlapping colors</t>
  </si>
  <si>
    <t>chart --&gt; whole.visualization [overall] | color_palette --&gt; property.color [data_area] | text_labels --&gt; text.label [axes]</t>
  </si>
  <si>
    <t>soft_color_tones @ color_palette (property.color) [-] | visually_pleasant_appearance @ color_palette (property.color) [-] | easy_to_comprehend @ chart (whole.visualization) [-] | readable_text_elements @ text_labels (text.label) [-]</t>
  </si>
  <si>
    <t>color_palette(property.color) --reduces_cognitive_load_of--&gt; chart(whole.visualization) [-] | color_palette(property.color) --contributes_to_pleasant_feel_of--&gt; chart(whole.visualization) [-]</t>
  </si>
  <si>
    <t>InfoVisC.73.6.png</t>
  </si>
  <si>
    <t>Text</t>
  </si>
  <si>
    <t>cluter on screen; text; The left image seems simpler, with just text changing fonts and lines.; dark green; Volume of information Time to evaluate context Spread of information on the image Data interpretation; harder to understand; this one has text; I do recognize a few of the words there when I briefly glanced it; however, I am not sure what it means or what it is used for.</t>
  </si>
  <si>
    <t>dense/cluttered data/info; many/more data/info; much/more data/info/info spread; lines; different font/word sizes/structure; title/axis/label/descriptions; word/text/sentence; unclear coloring; more difficult to interpret/read/understand/differentiate; unclear meaning/confusing</t>
  </si>
  <si>
    <t>amount of words/context/numbers; color contrast/clarity; easy/hard to interpret; labels/axes/legends; more charts/points/lines/shapes/elements; much/little data/info; overlapping shapes/colors/lines; shapes and lines; unclear meaning/confusing; word rotation/small font size</t>
  </si>
  <si>
    <t>chart --&gt; whole.visualization [overall] | text_labels --&gt; text.label [data_area] | lines --&gt; mark.line [data_area] | color_encoding --&gt; property.color [data_area] | font_styling --&gt; property.font_style [overall]</t>
  </si>
  <si>
    <t>spread_of_information @ chart (whole.visualization) [-] | high_volume_of_information @ chart (whole.visualization) [+] | cluttered_screen_layout @ chart (whole.visualization) [+] | unclear_purpose_or_use @ chart (whole.visualization) [-] | meaning_not_apparent @ chart (whole.visualization) [-] | text_present @ text_labels (text.label) [+] | few_readable_words @ text_labels (text.label) [-] | multiple_lines_present @ lines (mark.line) [+] | dark_green_color_used @ color_encoding (property.color) [-] | changing_fonts_present @ font_styling (property.font_style) [-]</t>
  </si>
  <si>
    <t>text_labels(text.label) --contributes_to--&gt; chart(whole.visualization) [+] | lines(mark.line) --adds_clutter_to--&gt; chart(whole.visualization) [+] | color_encoding(property.color) --simplifies(raw:reduces_complexity_of)--&gt; chart(whole.visualization) [-] | font_styling(property.font_style) --reduces_legibility_of--&gt; text_labels(text.label) [-]</t>
  </si>
  <si>
    <t>SciVisJ.822.18.png</t>
  </si>
  <si>
    <t>readability; easy to interpret/read/understand</t>
  </si>
  <si>
    <t>easy/hard to interpret; word rotation/small font size</t>
  </si>
  <si>
    <t>visualization --&gt; whole.visualization [overall] | text_elements --&gt; text.label [axes]</t>
  </si>
  <si>
    <t>generally_comprehensible @ visualization (whole.visualization) [-] | low_readability @ text_elements (text.label) [+]</t>
  </si>
  <si>
    <t>text_elements(text.label) --hinders_reading(raw:hinders_interpretation_of)--&gt; visualization(whole.visualization) [+]</t>
  </si>
  <si>
    <t>VisJ.1949.18(3).png</t>
  </si>
  <si>
    <t>background white we see more clearly numbers and legend; Patterns, the image I chose was slightly mesmerizing as my brain wanted to find a pattern in it. More elements. The level of contrast. The colour intensity.</t>
  </si>
  <si>
    <t>more charts/points/lines/shapes/elements; lack of/not enough axis labels/legend/annotations/context; unfamiliar concepts/patterns; color intensity; low color contrast/separation/segmentation; white/black background / other background</t>
  </si>
  <si>
    <t>color contrast/clarity; color variety/shading; domain-specific concepts (e.g., chemical, biology, map); labels/axes/legends; more charts/points/lines/shapes/elements; white/black background / other background</t>
  </si>
  <si>
    <t>background --&gt; structure.background [overall] | legend --&gt; furniture.legend [legend] | numbers --&gt; content.number [data_area] | data_elements --&gt; content.data [data_area] | color_encoding --&gt; property.color [data_area]</t>
  </si>
  <si>
    <t>white_background_present @ background (structure.background) [+] | legend_adds_elements @ legend (furniture.legend) [+] | numeric_labels_present @ numbers (content.number) [+] | more_elements_present @ data_elements (content.data) [+] | pattern_search_required @ data_elements (content.data) [+] | high_color_intensity @ color_encoding (property.color) [+] | high_contrast_level @ color_encoding (property.color) [+]</t>
  </si>
  <si>
    <t>numbers(content.number) --combined_with--&gt; legend(furniture.legend) [+] | color_encoding(property.color) --contributes_to--&gt; data_elements(content.data) [+] | data_elements(content.data) --requires_pattern_finding_in--&gt; color_encoding(property.color) [+]</t>
  </si>
  <si>
    <t>VASTJ.422.7.png</t>
  </si>
  <si>
    <t>Larger dataset; Bigger key so more things to analyse; More colours</t>
  </si>
  <si>
    <t>large dataset; more detailed/things; too much legend; color variety/arrangement/distribution</t>
  </si>
  <si>
    <t>color variety/shading; labels/axes/legends; much/little data/info</t>
  </si>
  <si>
    <t>dataset --&gt; content.data [data_area] | legend --&gt; furniture.legend [legend] | color_scheme --&gt; property.color [overall]</t>
  </si>
  <si>
    <t>larger_dataset_size @ dataset (content.data) [+] | more_visual_elements @ dataset (content.data) [+] | bigger_key_size @ legend (furniture.legend) [+] | more_colors_used @ color_scheme (property.color) [+]</t>
  </si>
  <si>
    <t>dataset(content.data) --increases_entries_in--&gt; legend(furniture.legend) [+] | color_scheme(property.color) --adds_visual_complexity_to--&gt; dataset(content.data) [+]</t>
  </si>
  <si>
    <t>v488_n7412_9_f1.png</t>
  </si>
  <si>
    <t>There are more images on the left image. Both were quite complex and it was hard to decide.</t>
  </si>
  <si>
    <t>more detailed/things</t>
  </si>
  <si>
    <t>much/little data/info</t>
  </si>
  <si>
    <t>images --&gt; whole.visualization [overall]</t>
  </si>
  <si>
    <t>multiple_images_present @ images (whole.visualization) [+]</t>
  </si>
  <si>
    <t>InfoVisJ.1558.9.png</t>
  </si>
  <si>
    <t>Because the colours drew me in and the pellet looking things look like money.; Numbers or data. Some descriptions to make the image make sense; numbers and images; The difference in sizes of the same shape (circle). The clustering of the circles. The similarity of the colours.; The clustering of the circles the blue squares lined with dotted lines; Data in the second image is overlapping, which makes it harder to evaluate each individual element. Their elements seem to present some sort of relation between them.; To be honest they are both complex; 1. Unlabeled legend/data. 2. Legend too close to visualization 3. The way the zooming in doesn't stand out enough from the rest of the chart; The one with orange shapes do not. The one with the orange shapes might make sense later on but only if you give yourself more time to understand what you're looking at.; Comprehension - what the values or words define the graphic (right one is more complex); A straightforward image with little to no shade variation.; The first image presents more layers of information, both visually and through it's very limited legend.; 1) Understanding what the visualization is about 2) Reading the values 3) Understanding different value rankings 4) Comparing different values</t>
  </si>
  <si>
    <t>dense/cluttered shape; overlapping shapes/colors/lines; shape size; shapes and lines; squares; lack of/not enough axis labels/legend/annotations/context; too much legend; familiar representation; appealing colors; blue color; good color contrast/separation/segmentation; lack of color contrast / hard to distinguish colors; intuitive; more difficult to interpret/read/understand/differentiate; take longer to interpret</t>
  </si>
  <si>
    <t>color contrast/clarity; color variety/shading; domain-specific concepts (e.g., chemical, biology, map); easy/hard to interpret; labels/axes/legends; overlapping shapes/colors/lines; shape size; shapes and lines; take longer to interpret</t>
  </si>
  <si>
    <t>circles --&gt; mark.point [data_area] | squares --&gt; mark.shape [data_area] | dotted_lines --&gt; mark.line [data_area] | legend --&gt; furniture.legend [legend] | colors --&gt; property.color [overall]</t>
  </si>
  <si>
    <t>clustered_together @ circles (mark.point) [+] | varying_sizes @ circles (mark.point) [+] | overlapping_data_elements @ circles (mark.point) [+] | pellet_money_appearance @ circles (mark.point) [+] | blue_colored_squares @ squares (mark.shape) [+] | orange_colored_shapes @ squares (mark.shape) [+] | dotted_line_marks @ dotted_lines (mark.line) [+] | unlabeled_legend_data @ legend (furniture.legend) [+] | too_close_to_visualization @ legend (furniture.legend) [+] | similar_color_palette @ colors (property.color) [+] | colors_draw_attention @ colors (property.color) [+] | little_shade_variation @ colors (property.color) [-] | straightforward_shape @ circles (mark.point) [-]</t>
  </si>
  <si>
    <t>circles(mark.point) --clusters_increase_difficulty--&gt; legend(furniture.legend) [+] | legend(furniture.legend) --lacks_labels_for--&gt; circles(mark.point) [+] | circles(mark.point) --overlaps_with--&gt; squares(mark.shape) [+] | colors(property.color) --similarity_hinders_distinction_of--&gt; squares(mark.shape) [+] | legend(furniture.legend) --positioned_too_close_to--&gt; circles(mark.point) [+]</t>
  </si>
  <si>
    <t>v488_n7409_12_f4.png</t>
  </si>
  <si>
    <t>It is more complex have more data</t>
  </si>
  <si>
    <t>much/more data/info/info spread</t>
  </si>
  <si>
    <t>chart --&gt; whole.visualization [overall] | data_points --&gt; mark.point [data_area]</t>
  </si>
  <si>
    <t>high_data_volume @ data_points (mark.point) [+]</t>
  </si>
  <si>
    <t>data_points(mark.point) --increases_clutter_in--&gt; chart(whole.visualization) [+]</t>
  </si>
  <si>
    <t>VASTJ.2012.9(2).png</t>
  </si>
  <si>
    <t>I picked complexity mostly for the amount of items displayed, how busy the charts were, the amount of information given and how hard it was to quickly understand them.; many different elements - less organization of elements - more variety of colors</t>
  </si>
  <si>
    <t>dense/cluttered layout; more charts/points/lines/shapes/elements; much/more data/info/info spread; less organized elements; color variety/arrangement/distribution; more difficult to interpret/read/understand/differentiate</t>
  </si>
  <si>
    <t>color variety/shading; easy/hard to interpret; less organized elements; more charts/points/lines/shapes/elements; much/little data/info; overlapping shapes/colors/lines</t>
  </si>
  <si>
    <t>chart --&gt; whole.visualization [overall] | color_scheme --&gt; property.color [data_area] | data_elements --&gt; content.data [data_area] | layout --&gt; structure.layout [overall] | information_content --&gt; content.data [overall]</t>
  </si>
  <si>
    <t>many_different_elements @ data_elements (content.data) [+] | high_amount_of_items @ data_elements (content.data) [+] | high_color_variety @ color_scheme (property.color) [+] | visually_busy @ chart (whole.visualization) [+] | large_information_volume @ information_content (content.data) [+] | hard_to_quickly_understand @ information_content (content.data) [+] | poor_element_organization @ layout (structure.layout) [+]</t>
  </si>
  <si>
    <t>data_elements(content.data) --contributes_to_clutter_in--&gt; chart(whole.visualization) [+] | layout(structure.layout) --increases_complexity(raw:increases_difficulty_of)--&gt; information_content(content.data) [+] | color_scheme(property.color) --adds_visual_complexity_to--&gt; chart(whole.visualization) [+] | information_content(content.data) --increases_effort(raw:increases_cognitive_load_of)--&gt; chart(whole.visualization) [+]</t>
  </si>
  <si>
    <t>InfoVisJ.349.1.png</t>
  </si>
  <si>
    <t>has easy lines to follow second option has easily distinct shapes; The numerous intersections on the right chart made it confusing to read to me.; Proximity of items Colours involved Complexity of image; Amount of information to understand the data; Lack of label or explanation; visually more abstract and to me complex; random like shapes; random like "movement" of datapoints(?); monochrome colour appeared more complex to me</t>
  </si>
  <si>
    <t>dense points/lines/shapes/elements; overlapping shapes/colors/lines; lines; random-like movement; random-like shapes; shapes and lines; lack of/not enough axis labels/legend/annotations/context; text hard to read; monochrome; unclear colormaps; easy to focus/follow; unclear meaning/confusing</t>
  </si>
  <si>
    <t>color contrast/clarity; distracting/confusing/unclear; easy/hard to interpret; labels/axes/legends; monochrome; more charts/points/lines/shapes/elements; overlapping shapes/colors/lines; random-like shapes; shapes and lines; unclear meaning/confusing; word rotation/small font size</t>
  </si>
  <si>
    <t>lines --&gt; mark.line [data_area] | datapoints --&gt; content.data [data_area] | shapes --&gt; mark.shape [data_area] | color_scheme --&gt; property.color [overall] | labels --&gt; text.label [annotation] | intersections --&gt; structure.link [data_area]</t>
  </si>
  <si>
    <t>distinct_recognizable_shapes @ shapes (mark.shape) [-] | numerous_lines_present @ lines (mark.line) [+] | easy_to_follow @ lines (mark.line) [-] | numerous_intersections @ intersections (structure.link) [+] | random_like_movement @ datapoints (content.data) [+] | random_like_shapes @ shapes (mark.shape) [+] | monochrome_color_used @ color_scheme (property.color) [+] | colors_involved @ color_scheme (property.color) [+] | lack_of_labels_explanation @ labels (text.label) [+] | close_proximity_of_items @ datapoints (content.data) [-]</t>
  </si>
  <si>
    <t>lines(mark.line) --contributes_to(raw:creates)--&gt; intersections(structure.link) [+] | intersections(structure.link) --makes_confusing_to_read--&gt; lines(mark.line) [+] | labels(text.label) --absent_from--&gt; shapes(mark.shape) [+] | datapoints(content.data) --clustered_near--&gt; datapoints(content.data) [-]</t>
  </si>
  <si>
    <t>VASTJ.1.7.png</t>
  </si>
  <si>
    <t>1. Pictures are more scattered, which takes more time to look at.</t>
  </si>
  <si>
    <t>scattered shapes (e.g., dots, squares, pictures); take longer to interpret</t>
  </si>
  <si>
    <t>data_points --&gt; mark.point [data_area] | chart --&gt; whole.visualization [overall]</t>
  </si>
  <si>
    <t>scattered_distribution @ data_points (mark.point) [+] | requires_extended_viewing @ chart (whole.visualization) [+]</t>
  </si>
  <si>
    <t>vis734.png</t>
  </si>
  <si>
    <t>too many points;  black background</t>
  </si>
  <si>
    <t>more charts/points/lines/shapes/elements; white/black background / other background</t>
  </si>
  <si>
    <t>data_points --&gt; mark.point [data_area] | background --&gt; structure.background [overall]</t>
  </si>
  <si>
    <t>excessive_point_count @ data_points (mark.point) [+] | black_background_color @ background (structure.background) [+]</t>
  </si>
  <si>
    <t>data_points(mark.point) --clutters--&gt; background(structure.background) [+]</t>
  </si>
  <si>
    <t>VisJ.1541.1(2).png</t>
  </si>
  <si>
    <t>There seems to be far more noise in the image, I had to take a lot longer to try and process and think about what the image portrayed. 1. Noise 2. Understanding of what the image is; The image in the left has some contect with color hues</t>
  </si>
  <si>
    <t>messy/mixed up/noisy/intermingled elements; image portrayal; context; color hues; take longer to interpret</t>
  </si>
  <si>
    <t>2D/3D; color variety/shading; domain-specific concepts (e.g., chemical, biology, map); overlapping shapes/colors/lines; take longer to interpret</t>
  </si>
  <si>
    <t>chart --&gt; whole.visualization [overall] | data_marks --&gt; content.data [data_area] | color_encoding --&gt; property.color [data_area] | semantic_content --&gt; content.domain [overall]</t>
  </si>
  <si>
    <t>high_visual_noise @ data_marks (content.data) [+] | cluttered_data_elements @ data_marks (content.data) [+] | unclear_portrayed_subject @ semantic_content (content.domain) [+] | requires_longer_processing @ semantic_content (content.domain) [+] | distinct_color_hues @ color_encoding (property.color) [-] | provides_interpretive_context @ semantic_content (content.domain) [-]</t>
  </si>
  <si>
    <t>data_marks(content.data) --increases_effort(raw:increases_cognitive_load_of)--&gt; semantic_content(content.domain) [+] | color_encoding(property.color) --aids_interpretation(raw:aids_interpretation_of)--&gt; data_marks(content.data) [-]</t>
  </si>
  <si>
    <t>v488_n7409_19_f1.png</t>
  </si>
  <si>
    <t>It was very hard to understand what is going on. The first one has lots of different colors. It was difficult to understand what is happening because of the small font used in the letters.; The image I chose as more more complex had more colours in comparison to the other image and more variables.; Many more factors to consider; Way more colors and points of the graph; Bigger graph; A lot more parameters. Color to take into account to understand the graph.; I didn't understand the image as much as I did the other one. It was visually complex in the sense that it wasn't intuitive to the average person to interpret. The key in the image I selected is quite expansive and contains a lot of terms I do not know. There are many more different visual components at work in the image I selected: colors, shapes, tables, texts, as well as implied data points/patterns.; there is more detail on the right. there are lots more isolated squares, and just appear more random. There are more unique colours.; there is more colors and more points and axis of parameters.; the first one look more important because there is a lot of stuff writting; - Colors are more appealing; More words more squares than dots multiple axes; A lot of colors are used. All of the colors and squares are scattered all over. Really small writing and labels. Ineligible for the size of the chart.; A lot of colors are used. All of the colors and squares are scattered all over. Lots of small writing and labels. Ineligible for the size of the chart.</t>
  </si>
  <si>
    <t>more charts/points/lines/shapes/elements; more parameters/variables; much/more data/info/info spread; multiple features/elements/graphs; more squares than shapes; scattered shapes (e.g., dots, squares, pictures); shapes; amount of words/context/numbers; more texts/words; more title/axis/label; title/axis/label/descriptions; too much legend; unclear relation between words; unreadable; word rotation/small font size; word/text/sentence; clear color uses; color details; color dimension; color variety/arrangement/distribution; unclear colormaps; convoluted composition; visual clarity/appealing; attention/squinting to understand; easy to interpret/read/understand; hard to interpret/read/understand; not interpretable/readable/understandable; not intuitive/simple data; read/analyze many figures/items; take longer to interpret</t>
  </si>
  <si>
    <t>amount of words/context/numbers; color contrast/clarity; color variety/shading; distinguishable/full/highly contrast color uses; distracting/confusing/unclear; easy/hard to interpret; labels/axes/legends; more charts/points/lines/shapes/elements; more parameters/variables; much/little data/info; overlapping shapes/colors/lines; read/analyze many figures/items; scattered shapes (e.g., dots, squares, pictures); shapes and lines; take longer to interpret; unclear meaning/confusing; word rotation/small font size</t>
  </si>
  <si>
    <t>squares --&gt; mark.shape [data_area] | dots --&gt; mark.point [data_area] | axes --&gt; furniture.axes [axes] | text_labels --&gt; text.label [axes] | legend --&gt; furniture.legend [legend] | colors --&gt; property.color [overall]</t>
  </si>
  <si>
    <t>scattered_all_over @ squares (mark.shape) [+] | numerous_isolated_marks @ squares (mark.shape) [+] | outnumber_dots @ squares (mark.shape) [+] | more_points_present @ dots (mark.point) [+] | multiple_axes @ axes (furniture.axes) [+] | many_parameters_on_axes @ axes (furniture.axes) [+] | small_font_size @ text_labels (text.label) [+] | illegible_small_writing @ text_labels (text.label) [+] | lot_of_terms @ text_labels (text.label) [+] | many_more_words @ text_labels (text.label) [+] | key_present_in_image @ legend (furniture.legend) [+] | labels_aid_reading @ legend (furniture.legend) [-] | many_unique_colors @ colors (property.color) [+] | colors_more_appealing @ colors (property.color) [-] | color_adds_factor_to_consider @ colors (property.color) [+] | many_visual_components @ squares (mark.shape) [+] | more_variables_represented @ axes (furniture.axes) [+] | difficult_to_understand @ colors (property.color) [+] | not_intuitive @ colors (property.color) [+]</t>
  </si>
  <si>
    <t>squares(mark.shape) --outnumbers--&gt; dots(mark.point) [+] | squares(mark.shape) --distributed_across(raw:scattered_across)--&gt; axes(furniture.axes) [+] | text_labels(text.label) --labels_multiple--&gt; axes(furniture.axes) [+] | colors(property.color) --encodes--&gt; squares(mark.shape) [+] | legend(furniture.legend) --explains--&gt; colors(property.color) [+]</t>
  </si>
  <si>
    <t>VASTC.13.9.png</t>
  </si>
  <si>
    <t>More details, complex graph design, varied colors; Both were quite complex and it was hard to decide.; Comprehension - what the values or words define the graphic (right one is more complex). both are complex.</t>
  </si>
  <si>
    <t>more detailed/things; label meaning; a specific technique; color variety/arrangement/distribution</t>
  </si>
  <si>
    <t>color variety/shading; domain-specific concepts (e.g., chemical, biology, map); labels/axes/legends; much/little data/info</t>
  </si>
  <si>
    <t>graph --&gt; whole.visualization [overall] | color_encoding --&gt; property.color [data_area] | labels_values --&gt; text.label [axes] | data_details --&gt; content.data [data_area]</t>
  </si>
  <si>
    <t>complex_graph_design @ graph (whole.visualization) [+] | varied_colors_present @ color_encoding (property.color) [+] | unclear_defining_values @ labels_values (text.label) [-] | more_details_included @ data_details (content.data) [+]</t>
  </si>
  <si>
    <t>color_encoding(property.color) --increases_clutter_in--&gt; graph(whole.visualization) [+] | labels_values(text.label) --reduces_interpretability_of--&gt; graph(whole.visualization) [-] | data_details(content.data) --increases_complexity(raw:adds_complexity_to)--&gt; graph(whole.visualization) [+]</t>
  </si>
  <si>
    <t>InfoVisJ.1149.6(1).png</t>
  </si>
  <si>
    <t>It contains a high information density. As a result, interpreting the map requires parsing through a large amount of textual data, which can be visually overwhelming and mentally taxing. Navigating through this hierarchical text requires understanding the relative importance of different labels and how they contribute to the overall information conveyed by the map. Interpreting a map with many small writings requires not only reading and understanding individual labels but also synthesizing information from multiple sources to gain a comprehensive understanding of the depicted area.</t>
  </si>
  <si>
    <t>dense/cluttered data/info; different labels; hierarchical text; more texts/words; title/axis/label/descriptions; visually overwhelming; more reading/interpretation/understanding</t>
  </si>
  <si>
    <t>amount of words/context/numbers; distracting/confusing/unclear; labels/axes/legends; overlapping shapes/colors/lines; take longer to interpret; word rotation/small font size</t>
  </si>
  <si>
    <t>visualization --&gt; whole.visualization [overall] | text_labels --&gt; text.label [data_area] | hierarchical_structure --&gt; structure.hierarchy [data_area] | small_text --&gt; text.label [data_area]</t>
  </si>
  <si>
    <t>high_information_density @ visualization (whole.visualization) [+] | visually_overwhelming_layout @ visualization (whole.visualization) [+] | mentally_taxing_to_interpret @ visualization (whole.visualization) [+] | large_amount_of_text @ text_labels (text.label) [+] | many_different_labels @ text_labels (text.label) [+] | hierarchical_text_organization @ hierarchical_structure (structure.hierarchy) [+] | many_small_writings @ small_text (text.label) [+]</t>
  </si>
  <si>
    <t>text_labels(text.label) --contributes_to_clutter_in--&gt; visualization(whole.visualization) [+] | hierarchical_structure(structure.hierarchy) --increases_structural_complexity_of--&gt; visualization(whole.visualization) [+] | small_text(text.label) --reduces_legibility_within--&gt; visualization(whole.visualization) [+]</t>
  </si>
  <si>
    <t>InfoVisC.65.5(2).png</t>
  </si>
  <si>
    <t>This image has a lot of lines, only one colour, and everything is quite diffuse, nothing is clear in the picture.; chosen one has lots of hard to discern meeting points which add to the complexity.; I think the info it's very important here and the nature of this info, because if you don't know anything about it, it could be difficult as well.</t>
  </si>
  <si>
    <t>more charts/points/lines/shapes/elements; overlapping shapes/colors/lines; lines; nothing clear; a specific domain; monochrome; complicated to process; hard to compare/discern/distinguish; hard to interpret/read/understand</t>
  </si>
  <si>
    <t>domain-specific concepts (e.g., chemical, biology, map); easy/hard to interpret; monochrome; more charts/points/lines/shapes/elements; overlapping shapes/colors/lines; shapes and lines</t>
  </si>
  <si>
    <t>lines --&gt; mark.line [data_area] | meeting_points --&gt; mark.point [data_area] | color_scheme --&gt; property.color [overall] | layout --&gt; structure.layout [overall]</t>
  </si>
  <si>
    <t>high_line_quantity @ lines (mark.line) [+] | diffuse_distribution @ lines (mark.line) [+] | hard_to_discern @ lines (mark.line) [+] | numerous_intersections @ meeting_points (mark.point) [+] | single_color_only @ color_scheme (property.color) [-] | nothing_clearly_readable @ layout (structure.layout) [+] | complex_domain_info @ layout (structure.layout) [+]</t>
  </si>
  <si>
    <t>lines(mark.line) --contributes_to(raw:creates)--&gt; layout(structure.layout) [+] | lines(mark.line) --converge_at--&gt; meeting_points(mark.point) [+] | color_scheme(property.color) --reduces_differentiation_in--&gt; lines(mark.line) [+] | meeting_points(mark.point) --increases_effort(raw:increases_cognitive_load_of)--&gt; layout(structure.layout) [+]</t>
  </si>
  <si>
    <t>visMost573.png</t>
  </si>
  <si>
    <t>The circles on the right side might also be a lot, but I can clearly link it to the image legend.; To many colours. Text is to small. Its not straight to the point; To many colours Text is to small Its not straight to the point; The initial understanding of what's shown to me made me think the orange image was more complex, as it was harder to decipher. The colour superposition also means more complexity. Finally, the amount of information as well as its disposition.; I assessed the images on how complicated they looked at first glance and whether I could glean any information from them instantly. If one image hurt my eyes or looked confusing I judged that to be more complex.cluttered as the one on the left.; density of information, number of colors, number of items on the legend, overlap of circle areas; It is more complex as I find it more difficult in terms of image layout; The orange image is much less clear, much more packed with information in a visually intricate way. The use of color is much more layered in the orange image than in the other one.; multiple features overlapping features several more colours large key; multiple features; overlapping features; several more colours; large key; Intense colors, multiple figures, smaller icons, hard to understand; number of items on the legend, overlap of different colors; Lots of colours, Different size of circles, Overlapping, The explanation text and the legend on the left side of the page; More overlapping colors; More colors; Background color; More text; Lots of colours; Different size of circles; Overlapping; The explanation text and the legend on the left side of the page; Too many circles in the orange highlighted one. Everything (circles and colours) are mixed together making it difficult to discern information. Use of ambiguous colours on the left.; Too many circles in the orange highlighted one Everything (circles and colours) are mixed together making it difficult to discern information Use of ambiguous colours; The image looks as if it might be easier to decipher.; complexity vague in general difficult to read; complex data sets , appealing colours , easier to visualize; I have the feeling I don't need to do this in the right image.; The visualization on the right looks more like an abstract painting.; However, the second image, even with info, it's quite difficult for me. By the way, another thing I realized was that, sometimes the image is apparently not complex, but it is to me. For example, with these images about black holes or similar to black holes.; At first, I thought that the image on the right was more difficult. But, after looking at it for a long time, I stared to understand what it meant.; 1. Visuals that tell the story 2. Labels are clear 3. Key is easy to understand 4. Description easy to read; The small text in the upper left kept distracting me every time I saw this image. The text is too small to read and because of that I felt this was less accessible and comprehensible. It became more familiar every time I saw it; however, I did feel that it was overly complex.; The image uses circles of various sizes and colors to represent sounds throughout Jerusalem. It conveys information in a complex way using these circles and text labels, though the visual elements themselves are relatively simple.; first reason is how quick i can understand the image, and because i saw the second multiple times, i guess it played a huge role on that; Sur l'image la plus simple il y a une lÃ©gende et des couleurs aidant Ã  la comprÃ©hension.</t>
  </si>
  <si>
    <t>dense/cluttered data/info; dense/cluttered layout; disposition; many/more data/info; more charts/points/lines/shapes/elements; much/more data/info/info spread; multiple features/elements/graphs; overlapping shapes/colors/lines; shape-color mix; clear connection; shape size; shape size variation; shapes and lines; simple visual elements; -; clear title/axis/label; description easy to read; explanation text; legend easy to understand; more texts/words; number of legend items; title/axis/label/descriptions; too much legend; word rotation/small font size; abstract shapes or colors; domain-specific concepts (e.g., chemical, biology, map); familiar representation; no context or reference; ambiguous/confusing colors; color represents sounds; color superposition/layer; color variety/arrangement/distribution; distinguishable color variety/arrangement/distribution; indicating symbols; intense/too many colors; more colors; soft/layered/overlapping colors; too many colors; white/black background / other background; distracting/confusing/unclear; complicated to process; easier to interpret/read/understand; easier to process/visualize; easy to interpret/read/understand; hard to compare/discern/distinguish; hard to interpret/read/understand; hard to interpret/read/understand/differentiate; more difficult; more difficult to interpret/read/understand/differentiate; not intuitive/simple data</t>
  </si>
  <si>
    <t>2D/3D; abstract shapes or colors; amount of words/context/numbers; color contrast/clarity; color variety/shading; distinguishable color variety/arrangement/distribution; distracting/confusing/unclear; domain-specific concepts (e.g., chemical, biology, map); easy/hard to interpret; labels/axes/legends; more charts/points/lines/shapes/elements; much/little data/info; overlapping shapes/colors/lines; shape size; shapes and lines; simple visual elements; soft/layered/overlapping colors; symbols; white/black background / other background; word rotation/small font size</t>
  </si>
  <si>
    <t>circles --&gt; mark.point [data_area] | legend --&gt; furniture.legend [legend] | text_labels --&gt; text.label [data_area] | colors --&gt; property.color [overall] | background --&gt; structure.background [overall] | explanation_text --&gt; text.label [annotation]</t>
  </si>
  <si>
    <t>too_many_circles @ circles (mark.point) [+] | overlapping_circle_areas @ circles (mark.point) [+] | circles_of_various_sizes @ circles (mark.point) [+] | different_size_circles @ circles (mark.point) [+] | smaller_icons_present @ circles (mark.point) [+] | clearly_links_to_data @ legend (furniture.legend) [-] | large_key_present @ legend (furniture.legend) [+] | easy_to_understand @ legend (furniture.legend) [-] | number_of_items_manageable @ legend (furniture.legend) [-] | text_is_too_small @ text_labels (text.label) [+] | labels_are_clear @ text_labels (text.label) [-] | more_text_present @ text_labels (text.label) [+] | intense_colors @ colors (property.color) [+] | too_many_colors @ colors (property.color) [+] | ambiguous_colors_used @ colors (property.color) [+] | overlapping_color_superposition @ colors (property.color) [+] | different_colors_present @ colors (property.color) [-] | background_color_adds_complexity @ background (structure.background) [+] | description_easy_to_read @ explanation_text (text.label) [-] | not_straight_to_point @ explanation_text (text.label) [+] | abstract_painting_appearance @ circles (mark.point) [+] | multiple_features_present @ circles (mark.point) [+] | difficult_to_discern @ circles (mark.point) [+] | visual_elements_relatively_simple @ circles (mark.point) [-]</t>
  </si>
  <si>
    <t>circles(mark.point) --overlaps_with--&gt; colors(property.color) [+] | circles(mark.point) --co_occurs_with(raw:mixed_with)--&gt; colors(property.color) [+] | legend(furniture.legend) --clarifies--&gt; colors(property.color) [-] | text_labels(text.label) --associated_with--&gt; circles(mark.point) [+] | circles(mark.point) --makes_cluttered--&gt; background(structure.background) [+] | explanation_text(text.label) --adds_density_to--&gt; circles(mark.point) [+]</t>
  </si>
  <si>
    <t>VisC.255.7.png</t>
  </si>
  <si>
    <t>I don't even know what I would call the thing on the right, is it even a graph?</t>
  </si>
  <si>
    <t>not interpretable/readable/understandable</t>
  </si>
  <si>
    <t>highly_confusing_content @ visualization (whole.visualization) [+]</t>
  </si>
  <si>
    <t>wsj108.png</t>
  </si>
  <si>
    <t>nice and readable, good color choices.</t>
  </si>
  <si>
    <t>readability; color variety/arrangement/distribution</t>
  </si>
  <si>
    <t>color variety/shading; word rotation/small font size</t>
  </si>
  <si>
    <t>chart --&gt; whole.visualization [overall] | color_scheme --&gt; property.color [data_area] | text_labels --&gt; text.label [axes]</t>
  </si>
  <si>
    <t>readable_text @ text_labels (text.label) [-] | good_color_choices @ color_scheme (property.color) [-] | low_cognitive_load @ chart (whole.visualization) [-]</t>
  </si>
  <si>
    <t>color_scheme(property.color) --enhances_readability_of--&gt; chart(whole.visualization) [-] | text_labels(text.label) --contributes_to_clarity_of--&gt; chart(whole.visualization) [-]</t>
  </si>
  <si>
    <t>InfoVisJ.1933.13.png</t>
  </si>
  <si>
    <t>The image just hurt my eyes to look at. They all looked the same yet different.; For this one, you need to read 15 figures separately. Therefore, I find it more complex.</t>
  </si>
  <si>
    <t>distracting/confusing/unclear; read/analyze many figures/items</t>
  </si>
  <si>
    <t>multi_panel_figure --&gt; structure.layout [overall] | individual_panel --&gt; structure.panel [data_area] | visual_encoding --&gt; property.encoding [data_area]</t>
  </si>
  <si>
    <t>visually_painful_to_view @ multi_panel_figure (structure.layout) [+] | fifteen_separate_figures @ multi_panel_figure (structure.layout) [+] | requires_individual_reading @ individual_panel (structure.panel) [+] | high_visual_strain @ visual_encoding (property.encoding) [+]</t>
  </si>
  <si>
    <t>multi_panel_figure(structure.layout) --composed_of_many--&gt; individual_panel(structure.panel) [+] | individual_panel(structure.panel) --increases_effort(raw:increases_reading_effort)--&gt; multi_panel_figure(structure.layout) [+]</t>
  </si>
  <si>
    <t>SciVisJ.259.7.png</t>
  </si>
  <si>
    <t>details, quantities, colors; several elements that make you go back and evaluate</t>
  </si>
  <si>
    <t>more charts/points/lines/shapes/elements; more detailed/things; several elements; unclear colormaps</t>
  </si>
  <si>
    <t>color contrast/clarity; more charts/points/lines/shapes/elements; much/little data/info; several elements</t>
  </si>
  <si>
    <t>visualization --&gt; whole.visualization [overall] | color_scheme --&gt; property.color [data_area] | data_elements --&gt; content.data [data_area] | detail_features --&gt; content.detail [data_area]</t>
  </si>
  <si>
    <t>multiple_colors_present @ color_scheme (property.color) [+] | high_element_quantity @ data_elements (content.data) [+] | rich_visual_details @ detail_features (content.detail) [+] | several_visual_elements @ visualization (whole.visualization) [+]</t>
  </si>
  <si>
    <t>data_elements(content.data) --increases_effort(raw:increases_cognitive_load)--&gt; visualization(whole.visualization) [+] | color_scheme(property.color) --contributes_to_complexity--&gt; visualization(whole.visualization) [+] | detail_features(content.detail) --adds_clutter_to--&gt; visualization(whole.visualization) [+]</t>
  </si>
  <si>
    <t>SciVisJ.635.6.png</t>
  </si>
  <si>
    <t>image is completely in colour (no white),; 1. Different shades of colors 2. More visually stimulating 3.More complex designs 4. More information presented</t>
  </si>
  <si>
    <t>much/more data/info/info spread; complex design; color shading; distinguishable/full/highly contrast color uses; visually stimulating  texture/colors</t>
  </si>
  <si>
    <t>color variety/shading; distinguishable/full/highly contrast color uses; much/little data/info; overlapping shapes/colors/lines; symbols</t>
  </si>
  <si>
    <t>visualization --&gt; whole.visualization [overall] | color_scheme --&gt; property.color [data_area] | design_elements --&gt; mark.element [data_area] | data_content --&gt; content.data [data_area]</t>
  </si>
  <si>
    <t>no_white_space @ color_scheme (property.color) [+] | multiple_color_shades @ color_scheme (property.color) [+] | fully_saturated_palette @ color_scheme (property.color) [+] | complex_visual_designs @ design_elements (mark.element) [+] | visually_stimulating @ visualization (whole.visualization) [+] | high_information_volume @ data_content (content.data) [+]</t>
  </si>
  <si>
    <t>color_scheme(property.color) --increases_effort(raw:increases_cognitive_load_of)--&gt; visualization(whole.visualization) [+] | design_elements(mark.element) --contributes_to_clutter_in--&gt; visualization(whole.visualization) [+] | data_content(content.data) --densifies--&gt; visualization(whole.visualization) [+]</t>
  </si>
  <si>
    <t>VisC.163.2.png</t>
  </si>
  <si>
    <t>there are no details to it; it is just some curved lines but no legend to describe what's going on which makes me confused</t>
  </si>
  <si>
    <t>curved lines; no detail; lack of/not enough axis labels/legend/annotations/context; unclear meaning/confusing</t>
  </si>
  <si>
    <t>labels/axes/legends; much/little data/info; shapes and lines; unclear meaning/confusing</t>
  </si>
  <si>
    <t>curved_lines --&gt; mark.line [data_area] | legend --&gt; furniture.legend [legend] | chart --&gt; whole.visualization [overall]</t>
  </si>
  <si>
    <t>curved_line_marks @ curved_lines (mark.line) [+] | legend_absent @ legend (furniture.legend) [+] | lacks_detail @ chart (whole.visualization) [+] | causes_confusion @ chart (whole.visualization) [+]</t>
  </si>
  <si>
    <t>curved_lines(mark.line) --contributes_to--&gt; chart(whole.visualization) [+] | legend(furniture.legend) --missing_from--&gt; chart(whole.visualization) [+]</t>
  </si>
  <si>
    <t>treasuryG07_2.png</t>
  </si>
  <si>
    <t>The more straightforward lines in the picture (easier to read and discern).; lines, graph</t>
  </si>
  <si>
    <t>lines; straight lines; easier to read; a specific technique; easier to interpret/read/understand</t>
  </si>
  <si>
    <t>domain-specific concepts (e.g., chemical, biology, map); easy/hard to interpret; shapes and lines; word rotation/small font size</t>
  </si>
  <si>
    <t>line_chart --&gt; whole.visualization [overall] | lines --&gt; mark.line [data_area] | axes --&gt; furniture.axes [axes]</t>
  </si>
  <si>
    <t>straightforward_line_paths @ lines (mark.line) [-] | multiple_lines_present @ lines (mark.line) [+] | easier_to_read @ line_chart (whole.visualization) [-] | easier_to_discern @ line_chart (whole.visualization) [-] | graph_adds_complexity @ line_chart (whole.visualization) [+]</t>
  </si>
  <si>
    <t>lines(mark.line) --rendered_as--&gt; line_chart(whole.visualization) [-] | lines(mark.line) --plotted_within--&gt; axes(furniture.axes) [-]</t>
  </si>
  <si>
    <t>SciVisJ.867.6.png</t>
  </si>
  <si>
    <t>The data points  are closer together, making them harder to read and discern. It is the combination of circles and lines in the picture on the right that make it more complex.; There are many lines on the graph and I'm not familiar with them.</t>
  </si>
  <si>
    <t>dense points/lines/shapes/elements; more charts/points/lines/shapes/elements; shapes and lines; unfamiliar concepts/patterns; more difficult to interpret/read/understand/differentiate</t>
  </si>
  <si>
    <t>domain-specific concepts (e.g., chemical, biology, map); easy/hard to interpret; more charts/points/lines/shapes/elements; shapes and lines</t>
  </si>
  <si>
    <t>lines --&gt; mark.line [data_area] | circles --&gt; mark.point [data_area] | data_points --&gt; mark.point [data_area] | chart --&gt; whole.visualization [overall]</t>
  </si>
  <si>
    <t>many_lines_present @ lines (mark.line) [+] | data_points_closely_spaced @ data_points (mark.point) [+] | unfamiliar_chart_type @ chart (whole.visualization) [+] | harder_to_read_discern @ chart (whole.visualization) [+]</t>
  </si>
  <si>
    <t>circles(mark.point) --combined_with--&gt; lines(mark.line) [+] | data_points(mark.point) --causes_visual_clutter_in--&gt; chart(whole.visualization) [+]</t>
  </si>
  <si>
    <t>VASTC.121.5.png</t>
  </si>
  <si>
    <t>It looks simpler yet more complex like an abstract painting. A unique way to display info unlike a traditional graph.</t>
  </si>
  <si>
    <t>abstract shapes or colors</t>
  </si>
  <si>
    <t>resembles_abstract_painting @ visualization (whole.visualization) [+]</t>
  </si>
  <si>
    <t>whoK27_2.png</t>
  </si>
  <si>
    <t>short cryptic labels; There is text and something to process; because of the metrics it reprents; the date is clearer and easy to identificate</t>
  </si>
  <si>
    <t>clear colors/shapes; metric representation; unclear relation between words; word/text/sentence; easy to identify/extract/find features; take longer to interpret</t>
  </si>
  <si>
    <t>amount of words/context/numbers; clear colors/shapes; domain-specific concepts (e.g., chemical, biology, map); easy/hard to interpret; take longer to interpret; unclear meaning/confusing</t>
  </si>
  <si>
    <t>chart --&gt; whole.visualization [overall] | text_labels --&gt; text.label [axes] | metric_representation --&gt; property.encoding [data_area] | legend --&gt; furniture.legend [legend]</t>
  </si>
  <si>
    <t>short_cryptic_labels @ text_labels (text.label) [+] | text_requires_processing @ text_labels (text.label) [+] | metric_meaning_unclear @ metric_representation (property.encoding) [+] | relatively_clear_layout @ chart (whole.visualization) [-] | easy_to_identify_elements @ chart (whole.visualization) [-]</t>
  </si>
  <si>
    <t>text_labels(text.label) --increases_effort(raw:increases_cognitive_load_of)--&gt; chart(whole.visualization) [+] | metric_representation(property.encoding) --requires_expertise(raw:requires_domain_knowledge_for)--&gt; chart(whole.visualization) [+] | text_labels(text.label) --partially_offset_by_clarity_of--&gt; legend(furniture.legend) [-]</t>
  </si>
  <si>
    <t>VisC.527.1.png</t>
  </si>
  <si>
    <t>When I look at the image of the left, its easier. Dots in more or less a line, axis, few items.</t>
  </si>
  <si>
    <t>little data/info; shape increase/decrease point; title/axis/label/descriptions; easier to interpret/read/understand</t>
  </si>
  <si>
    <t>easy/hard to interpret; labels/axes/legends; much/little data/info; shape increase/decrease point</t>
  </si>
  <si>
    <t>dots --&gt; mark.point [data_area] | axis --&gt; furniture.axes [axes]</t>
  </si>
  <si>
    <t>few_data_items @ dots (mark.point) [-] | linear_arrangement @ dots (mark.point) [-] | standard_axis_present @ axis (furniture.axes) [-] | easy_to_interpret @ axis (furniture.axes) [-]</t>
  </si>
  <si>
    <t>dots(mark.point) --arranged_along--&gt; axis(furniture.axes) [-]</t>
  </si>
  <si>
    <t>economist_daily_chart_152.png</t>
  </si>
  <si>
    <t>The one in the right has more lines, more dots, more complexity. The one in the right has more items, more lines, more everything and I needed more time to understand it.; I choose the left image because it looked like it had more information; the one I choose looks like it would take a little more time to understand it</t>
  </si>
  <si>
    <t>more charts/points/lines/shapes/elements; much/more data/info/info spread; take longer to interpret</t>
  </si>
  <si>
    <t>more charts/points/lines/shapes/elements; much/little data/info; take longer to interpret</t>
  </si>
  <si>
    <t>dots --&gt; mark.point [data_area] | lines --&gt; mark.line [data_area] | data_items --&gt; content.data [data_area] | chart --&gt; whole.visualization [overall]</t>
  </si>
  <si>
    <t>high_dot_quantity @ dots (mark.point) [+] | multiple_lines_present @ lines (mark.line) [+] | many_data_items @ data_items (content.data) [+] | high_information_volume @ chart (whole.visualization) [+] | requires_more_processing_time @ chart (whole.visualization) [+] | visually_dense_overall @ chart (whole.visualization) [+]</t>
  </si>
  <si>
    <t>dots(mark.point) --increases_clutter_in--&gt; chart(whole.visualization) [+] | lines(mark.line) --increases_complexity(raw:adds_complexity_to)--&gt; chart(whole.visualization) [+] | data_items(content.data) --prolongs_interpretation_of--&gt; chart(whole.visualization) [+]</t>
  </si>
  <si>
    <t>SciVisJ.728.14.png</t>
  </si>
  <si>
    <t>On the right side, the colors of the image are too similar, and it makes it harder to understand the data.; The second image has a clear and concise key and is therefore less complex.; Visual clarity Amount of information; There is more text. The font and the arrangement of the text make it harder to read. There is less blank space (too cramped).; just lines of text; a chart that needed interpretation; The highlighted image needs a lot of reading before any sort of interpretation can be made.; The colours make it look cool; amount of text; amount of text, number of colours,; Use of color makes reading easier; How visible is the information â€” easy to read; there are lots of words on the one on the left; I have a legend and explanations.; intuitive understanding of graph</t>
  </si>
  <si>
    <t>dense/cluttered layout; more regions/space; much/more data/info/info spread; amount of words/context/numbers; clear text arrangement/density; explanation text; font; legend easy to understand; more texts/words; title/axis/label/descriptions; too much legend; distinguishable color variety/arrangement/distribution; lack of color contrast / hard to distinguish colors; unclear colormaps; visual clarity/appealing; easy to interpret/read/understand; more difficult to interpret/read/understand/differentiate; more reading/interpretation/understanding; read/analyze many figures/items</t>
  </si>
  <si>
    <t>amount of words/context/numbers; clear text arrangement/density; color contrast/clarity; distinguishable color variety/arrangement/distribution; distracting/confusing/unclear; easy/hard to interpret; labels/axes/legends; more regions/space; much/little data/info; overlapping shapes/colors/lines; read/analyze many figures/items; take longer to interpret; word rotation/small font size</t>
  </si>
  <si>
    <t>legend --&gt; furniture.legend [legend] | text_labels --&gt; text.label [overall] | color_encoding --&gt; property.color [data_area] | chart_layout --&gt; structure.layout [overall] | data_content --&gt; content.data [data_area] | font --&gt; property.font_style [overall]</t>
  </si>
  <si>
    <t>present_and_complex @ legend (furniture.legend) [+] | clear_and_concise_key @ legend (furniture.legend) [-] | aids_interpretation @ legend (furniture.legend) [-] | lots_of_words @ text_labels (text.label) [+] | needs_much_reading @ text_labels (text.label) [+] | many_lines_of_text @ text_labels (text.label) [+] | text_arrangement_complex @ text_labels (text.label) [+] | harder_to_read @ text_labels (text.label) [+] | colors_too_similar @ color_encoding (property.color) [+] | number_of_colors_manageable @ color_encoding (property.color) [-] | use_of_color_aids_clarity @ color_encoding (property.color) [-] | visually_appealing @ color_encoding (property.color) [-] | too_cramped @ chart_layout (structure.layout) [+] | less_blank_space @ chart_layout (structure.layout) [+] | explanations_provided @ chart_layout (structure.layout) [-] | high_information_volume @ data_content (content.data) [+] | needs_interpretation @ data_content (content.data) [+] | intuitive_graph_understanding @ data_content (content.data) [-] | easy_to_read @ data_content (content.data) [-] | font_adds_complexity @ font (property.font_style) [+]</t>
  </si>
  <si>
    <t>text_labels(text.label) --increases_effort(raw:increases_cognitive_load_of)--&gt; data_content(content.data) [+] | color_encoding(property.color) --partially_clarifies--&gt; data_content(content.data) [-] | legend(furniture.legend) --aids_interpretation(raw:supports_readability_of)--&gt; color_encoding(property.color) [-] | chart_layout(structure.layout) --contributes_to_clutter_of--&gt; text_labels(text.label) [+] | font(property.font_style) --affects_legibility_of--&gt; text_labels(text.label) [+]</t>
  </si>
  <si>
    <t>whoQ32_2.png</t>
  </si>
  <si>
    <t>The amount of elements in the second image is higher; Graphs take some time to understand; unique data points overlapping data points</t>
  </si>
  <si>
    <t>more charts/points/lines/shapes/elements; overlapping shapes/colors/lines; unique data point; hard to interpret/read/understand/differentiate</t>
  </si>
  <si>
    <t>domain-specific concepts (e.g., chemical, biology, map); easy/hard to interpret; more charts/points/lines/shapes/elements; overlapping shapes/colors/lines</t>
  </si>
  <si>
    <t>data_points --&gt; mark.point [data_area] | graph --&gt; whole.visualization [overall] | unique_point --&gt; mark.point [data_area] | elements --&gt; mark.element [overall]</t>
  </si>
  <si>
    <t>overlapping_data_points @ data_points (mark.point) [+] | unique_data_point_present @ unique_point (mark.point) [+] | high_element_count @ elements (mark.element) [+] | requires_time_to_understand @ graph (whole.visualization) [+]</t>
  </si>
  <si>
    <t>data_points(mark.point) --increases_clutter_in--&gt; graph(whole.visualization) [+] | elements(mark.element) --raises_cognitive_load_of--&gt; graph(whole.visualization) [+]</t>
  </si>
  <si>
    <t>InfoVisJ.485.9.png</t>
  </si>
  <si>
    <t>There are colours, a grid, numbers, and codes in the one I chose. It overall feels more complicated even though I haven't had a chance to truly analyze it.; detail is not fixed in one area. eyes would have to take in lots of separate charts of information. too much for eyes to remember as a whole image.; 1. Involves multiple graphics; 2. Involves colors; 3. Involves words/sentences.; The amount of overlapping lines Several scatter plots; 1.Image size. 2. Small details in the image. 3. The number of shapes in the image; Excessive Data Points: When a chart contains too many data points, it can overwhelm the viewer and make it difficult to discern meaningful patterns or trends. Cluttered Labels and Annotations: If labels, titles, and annotations are excessively crowded or overlapping, it can make it challenging to identify specific elements within the chart. Data Overload: Including too much data in a single chart or diagram can make it difficult to focus on the most important information and can obscure key insights.; Data is easier to compare on the left.; Mixing visual graphs and line data confusing. Unclear what is being measured. Data points not clearly marked or labelled. Very busy images, unsure where to start looking</t>
  </si>
  <si>
    <t>fine/layered details; more charts/points/lines/shapes/elements; multiple features/elements/graphs; overlapping shapes/colors/lines; too many points/lines/shapes/elements; too much data/info; amount of words/context/numbers; code/text; unclear relation between words; word/text/sentence; a specific technique; unclear colormaps; easier to compare/discern/distinguish; hard to compare/discern/distinguish; hard to focus/follow; hard to identify/extract/find features; hard to interpret/read/understand; more complicated; unable to remember</t>
  </si>
  <si>
    <t>amount of words/context/numbers; color contrast/clarity; domain-specific concepts (e.g., chemical, biology, map); easy/hard to interpret; more charts/points/lines/shapes/elements; much/little data/info; overlapping shapes/colors/lines; unclear meaning/confusing</t>
  </si>
  <si>
    <t>scatter_plots --&gt; whole.visualization [data_area] | overlapping_lines --&gt; mark.line [data_area] | data_points --&gt; mark.point [data_area] | labels_annotations --&gt; text.label [annotation] | color_encoding --&gt; property.color [legend] | chart_titles --&gt; whole.visualization [title] | codes_numbers --&gt; content.number [axes]</t>
  </si>
  <si>
    <t>multiple_separate_charts @ scatter_plots (whole.visualization) [+] | easier_to_compare @ scatter_plots (whole.visualization) [-] | difficult_to_focus_on @ scatter_plots (whole.visualization) [+] | unsure_where_to_start @ scatter_plots (whole.visualization) [+] | overlapping_lines_present @ overlapping_lines (mark.line) [+] | difficult_to_discern @ overlapping_lines (mark.line) [+] | too_many_data_points @ data_points (mark.point) [+] | high_data_volume @ data_points (mark.point) [+] | varied_number_of_shapes @ data_points (mark.point) [+] | small_detail_elements @ data_points (mark.point) [+] | excessively_crowded_labels @ labels_annotations (text.label) [+] | overlapping_annotations @ labels_annotations (text.label) [+] | words_sentences_present @ labels_annotations (text.label) [+] | multiple_colors_used @ color_encoding (property.color) [+] | challenging_to_identify @ color_encoding (property.color) [+] | too_much_to_remember @ chart_titles (whole.visualization) [+] | more_complicated_overall @ chart_titles (whole.visualization) [+] | codes_and_numbers_present @ codes_numbers (content.number) [+]</t>
  </si>
  <si>
    <t>scatter_plots(whole.visualization) --contains(raw:contains_many)--&gt; data_points(mark.point) [+] | overlapping_lines(mark.line) --increases_clutter_in--&gt; scatter_plots(whole.visualization) [+] | labels_annotations(text.label) --crowds_around--&gt; data_points(mark.point) [+] | color_encoding(property.color) --encodes_across--&gt; scatter_plots(whole.visualization) [+] | codes_numbers(content.number) --adds_cognitive_load_to--&gt; scatter_plots(whole.visualization) [+]</t>
  </si>
  <si>
    <t>VASTJ.1763.8(2).png</t>
  </si>
  <si>
    <t>The left picture utilizes a more uniform design. The left picture features only two main colors. The left picture applies one font only.</t>
  </si>
  <si>
    <t>more uniform design; single font; two colors</t>
  </si>
  <si>
    <t>2D/3D; two colors; word rotation/small font size</t>
  </si>
  <si>
    <t>chart --&gt; whole.visualization [overall] | color_scheme --&gt; property.color [data_area] | typography --&gt; property.font_style [overall]</t>
  </si>
  <si>
    <t>only_two_main_colors @ color_scheme (property.color) [-] | single_font_used @ typography (property.font_style) [-] | uniform_visual_design @ chart (whole.visualization) [-]</t>
  </si>
  <si>
    <t>color_scheme(property.color) --contributes_to--&gt; chart(whole.visualization) [-] | typography(property.font_style) --reinforces--&gt; chart(whole.visualization) [-]</t>
  </si>
  <si>
    <t>MorphableWordClouds21.png</t>
  </si>
  <si>
    <t>More colour, more text, more complex shape.</t>
  </si>
  <si>
    <t>curves and shapes; more texts/words; color variety/arrangement/distribution</t>
  </si>
  <si>
    <t>amount of words/context/numbers; color variety/shading; shapes and lines</t>
  </si>
  <si>
    <t>word_cloud --&gt; whole.visualization [overall] | text_words --&gt; text.label [data_area] | shape_outline --&gt; mark.shape [overall] | color_scheme --&gt; property.color [data_area]</t>
  </si>
  <si>
    <t>complex_irregular_shape @ shape_outline (mark.shape) [+] | high_text_quantity @ text_words (text.label) [+] | multiple_colors_present @ color_scheme (property.color) [+]</t>
  </si>
  <si>
    <t>text_words(text.label) --fills--&gt; shape_outline(mark.shape) [+] | color_scheme(property.color) --applied_to--&gt; text_words(text.label) [+] | shape_outline(mark.shape) --increases_effort(raw:increases_cognitive_load_of)--&gt; word_cloud(whole.visualization) [+]</t>
  </si>
  <si>
    <t>InfoVisJ.621.6(2).png</t>
  </si>
  <si>
    <t>would understand the image; The words and number in the alternative image were so familiar to me.</t>
  </si>
  <si>
    <t>words and numbers; familiar representation</t>
  </si>
  <si>
    <t>amount of words/context/numbers; domain-specific concepts (e.g., chemical, biology, map)</t>
  </si>
  <si>
    <t>text_labels --&gt; text.label [overall] | numeric_values --&gt; content.number [data_area]</t>
  </si>
  <si>
    <t>contains_words @ text_labels (text.label) [-] | contains_numbers @ numeric_values (content.number) [-] | familiar_format @ text_labels (text.label) [-]</t>
  </si>
  <si>
    <t>text_labels(text.label) --combined_with--&gt; numeric_values(content.number) [-]</t>
  </si>
  <si>
    <t>economist_daily_chart_393.png</t>
  </si>
  <si>
    <t>The images are both very simple to digest; I find the straight lines  easier to follow; On the right there is just a few lines and data; more info, less simple-looking; more variables, more information to process, more contrast; The highlighted image much like my previous answer has actual factual information within it which is why I deemed it to be more visually complex.; the first image with the "random" names that don't make sense to me! the first picture I don't know what the colors red and green are supposed to indicate.; How clear the chart was</t>
  </si>
  <si>
    <t>few points/lines/shapes/elements; little data/info; more parameters/variables; much/more data/info/info spread; clear indication; straight lines; factual information; lack of/not enough axis labels/legend/annotations/context; more contrast; unclear color meaning; less simple; easier to interpret/read/understand; easy to interpret/read/understand</t>
  </si>
  <si>
    <t>color contrast/clarity; domain-specific concepts (e.g., chemical, biology, map); easy/hard to interpret; labels/axes/legends; more charts/points/lines/shapes/elements; more parameters/variables; much/little data/info; shapes and lines; unclear meaning/confusing</t>
  </si>
  <si>
    <t>line_chart --&gt; whole.visualization [overall] | data_lines --&gt; mark.line [data_area] | legend --&gt; furniture.legend [legend] | axis_labels --&gt; text.axis_label [axes] | color_encoding --&gt; property.color [data_area] | annotations --&gt; text.annotation [annotation]</t>
  </si>
  <si>
    <t>straight_line_paths @ data_lines (mark.line) [-] | few_lines_present @ data_lines (mark.line) [-] | simple_to_digest @ line_chart (whole.visualization) [-] | few_data_points @ line_chart (whole.visualization) [-] | clear_layout @ line_chart (whole.visualization) [-] | multiple_variables_present @ line_chart (whole.visualization) [+] | contains_factual_information @ line_chart (whole.visualization) [+] | red_green_meaning_unclear @ color_encoding (property.color) [+] | high_color_contrast @ color_encoding (property.color) [+] | unfamiliar_label_names @ axis_labels (text.axis_label) [+] | less_simple_overall @ line_chart (whole.visualization) [+]</t>
  </si>
  <si>
    <t>data_lines(mark.line) --easy_to_follow--&gt; line_chart(whole.visualization) [-] | color_encoding(property.color) --adds_interpretive_difficulty_to--&gt; line_chart(whole.visualization) [+] | axis_labels(text.axis_label) --contains_confusing_names_in--&gt; line_chart(whole.visualization) [+] | annotations(text.annotation) --increases_information_load_of--&gt; line_chart(whole.visualization) [+]</t>
  </si>
  <si>
    <t>VASTJ.2012.4.png</t>
  </si>
  <si>
    <t>Word amount Lines Extra detail on the edge; Various geometrical shapes integrated into one graph (circles, longitudinal graph, dates...). Too many colors raise visual complexity â€” the more complex picture features many colors. The more complex picture uses different fonts in one "slide", which is confusing. Magnification effects are used here, forcing a "mental leap" and making it hard to intuitively ascertain the quantitative relation between normal and magnified levels.</t>
  </si>
  <si>
    <t>more detailed/things; design-data relationship; lines; scale difference; shape variety; shapes and lines; dates; different font/word sizes/structure; more texts/words; a specific technique; amount of / too many colors; distracting/confusing/unclear; hard to interpret/read/understand</t>
  </si>
  <si>
    <t>amount of words/context/numbers; color variety/shading; design-data relationship; distracting/confusing/unclear; domain-specific concepts (e.g., chemical, biology, map); easy/hard to interpret; labels/axes/legends; much/little data/info; scale difference; shapes and lines; word rotation/small font size</t>
  </si>
  <si>
    <t>lines --&gt; mark.line [data_area] | text_labels --&gt; text.label [axes] | edge_detail --&gt; structure.link [annotation] | magnification_inset --&gt; structure.panel [data_area] | geometric_shapes --&gt; mark.shape [data_area] | circles --&gt; mark.point [data_area] | date_labels --&gt; text.label [axes] | color_scheme --&gt; property.color [overall] | longitudinal_axis --&gt; furniture.axes [axes]</t>
  </si>
  <si>
    <t>multiple_overlapping_lines @ lines (mark.line) [+] | high_word_count @ text_labels (text.label) [+] | different_fonts_used @ text_labels (text.label) [+] | extra_peripheral_detail @ edge_detail (structure.link) [+] | magnification_effect_present @ magnification_inset (structure.panel) [+] | various_geometrical_shapes @ geometric_shapes (mark.shape) [+] | circular_marks_present @ circles (mark.point) [+] | dense_date_annotations @ date_labels (text.label) [+] | too_many_colors @ color_scheme (property.color) [+] | longitudinal_graph_structure @ longitudinal_axis (furniture.axes) [+] | quantitative_relations_encoded @ longitudinal_axis (furniture.axes) [+] | visually_confusing_layout @ magnification_inset (structure.panel) [+] | hard_to_intuitively_ascertain @ geometric_shapes (mark.shape) [+]</t>
  </si>
  <si>
    <t>magnification_inset(structure.panel) --increases_clutter_of--&gt; lines(mark.line) [+] | color_scheme(property.color) --compounds_confusion_with--&gt; geometric_shapes(mark.shape) [+] | date_labels(text.label) --adds_density_to--&gt; longitudinal_axis(furniture.axes) [+] | edge_detail(structure.link) --increases_effort(raw:increases_cognitive_load_of)--&gt; magnification_inset(structure.panel) [+] | text_labels(text.label) --complicates_reading_of--&gt; longitudinal_axis(furniture.axes) [+]</t>
  </si>
  <si>
    <t>v484_n7395_11_f2.png</t>
  </si>
  <si>
    <t>There is a multitude of differing information and colour keys related to the image. It is hard to ascertain the data without deep attention</t>
  </si>
  <si>
    <t>diverse information; color keys; hard to compare/discern/distinguish</t>
  </si>
  <si>
    <t>color variety/shading; easy/hard to interpret; much/little data/info</t>
  </si>
  <si>
    <t>chart --&gt; whole.visualization [overall] | color_key --&gt; property.color [legend] | data_content --&gt; content.data [data_area]</t>
  </si>
  <si>
    <t>multitude_of_differing_information @ data_content (content.data) [+] | multiple_color_keys_present @ color_key (property.color) [+] | hard_to_ascertain_meaning @ chart (whole.visualization) [+]</t>
  </si>
  <si>
    <t>color_key(property.color) --increases_complexity(raw:increases_difficulty_of)--&gt; chart(whole.visualization) [+] | data_content(content.data) --contributes_clutter_to--&gt; chart(whole.visualization) [+]</t>
  </si>
  <si>
    <t>InfoVisJ.1009.9.png</t>
  </si>
  <si>
    <t>There is no key for the data. The different colours are confusing. The shades of the colour change. There is less information on the picture</t>
  </si>
  <si>
    <t>lack of/not enough axis labels/legend/annotations/context; ambiguous/confusing colors; color shading; color variety/arrangement/distribution</t>
  </si>
  <si>
    <t>color contrast/clarity; color variety/shading; labels/axes/legends</t>
  </si>
  <si>
    <t>chart --&gt; whole.visualization [overall] | legend --&gt; furniture.legend [legend] | color_encoding --&gt; property.color [data_area]</t>
  </si>
  <si>
    <t>missing_data_key @ legend (furniture.legend) [+] | multiple_colors_present @ color_encoding (property.color) [-] | different_colors_confusing @ color_encoding (property.color) [+] | color_shades_vary @ color_encoding (property.color) [+]</t>
  </si>
  <si>
    <t>legend(furniture.legend) --absent_from--&gt; chart(whole.visualization) [+] | color_encoding(property.color) --increases_effort(raw:increases_cognitive_load_of)--&gt; chart(whole.visualization) [+]</t>
  </si>
  <si>
    <t>wsj21.png</t>
  </si>
  <si>
    <t>The other image has visuals to make it easier for you to understand what the data is about. The other image also has different visual elements that allow you to analyze the data in the image.</t>
  </si>
  <si>
    <t>several elements; easier to interpret/read/understand; easier to process/visualize</t>
  </si>
  <si>
    <t>easy/hard to interpret; several elements</t>
  </si>
  <si>
    <t>chart --&gt; whole.visualization [overall] | visual_elements --&gt; mark.element [data_area] | data --&gt; content.data [data_area]</t>
  </si>
  <si>
    <t>varied_visual_encoding @ visual_elements (mark.element) [-] | supports_data_analysis @ data (content.data) [-] | easier_to_understand @ chart (whole.visualization) [-]</t>
  </si>
  <si>
    <t>visual_elements(mark.element) --facilitates_interpretation_of--&gt; data(content.data) [-] | visual_elements(mark.element) --simplifies(raw:reduces_complexity_of)--&gt; chart(whole.visualization) [-]</t>
  </si>
  <si>
    <t>visMost777.png</t>
  </si>
  <si>
    <t>The image changes over something but not sure what, the meanings of color are not well defined. and it seems like a physical dimension but not sure</t>
  </si>
  <si>
    <t>2D/3D; unfamiliar concepts/patterns; unclear color meaning</t>
  </si>
  <si>
    <t>2D/3D; color contrast/clarity; domain-specific concepts (e.g., chemical, biology, map)</t>
  </si>
  <si>
    <t>visualization --&gt; whole.visualization [overall] | color_encoding --&gt; property.color [data_area] | spatial_dimension --&gt; structure.layout [data_area]</t>
  </si>
  <si>
    <t>interpretive_uncertainty_present @ visualization (whole.visualization) [+] | color_meaning_undefined @ color_encoding (property.color) [+] | poorly_defined_color_legend @ color_encoding (property.color) [+] | physical_dimension_present @ spatial_dimension (structure.layout) [+]</t>
  </si>
  <si>
    <t>color_encoding(property.color) --increases_ambiguity_in--&gt; visualization(whole.visualization) [+] | spatial_dimension(structure.layout) --adds_structural_complexity_to--&gt; visualization(whole.visualization) [+]</t>
  </si>
  <si>
    <t>vis3.png</t>
  </si>
  <si>
    <t>Multiple colour schemes and shade variation. Differing font size. It's more challenging and takes longer to 'understand' what it is I'm looking at.</t>
  </si>
  <si>
    <t>shape variety; different font/word sizes/structure; color variety/arrangement/distribution; take longer to interpret</t>
  </si>
  <si>
    <t>color variety/shading; shapes and lines; take longer to interpret; word rotation/small font size</t>
  </si>
  <si>
    <t>chart --&gt; whole.visualization [overall] | marks --&gt; mark.element [data_area] | color_scheme --&gt; property.color [overall] | text_labels --&gt; text.label [axes]</t>
  </si>
  <si>
    <t>varied_shape_types @ marks (mark.element) [+] | multiple_color_schemes @ color_scheme (property.color) [+] | differing_font_sizes @ text_labels (text.label) [+] | requires_longer_interpretation @ chart (whole.visualization) [+]</t>
  </si>
  <si>
    <t>marks(mark.element) --increases_visual_clutter--&gt; chart(whole.visualization) [+] | color_scheme(property.color) --complicates_encoding_of--&gt; marks(mark.element) [+] | text_labels(text.label) --adds_cognitive_load_to--&gt; chart(whole.visualization) [+]</t>
  </si>
  <si>
    <t>visMost786.png</t>
  </si>
  <si>
    <t>sports is more likeable and much easier to figure out.; THe one on the right has words next to each of the circles so I know what they mean. The circles on the right are different sizes so I'm sure the size is an indication of the magnitude</t>
  </si>
  <si>
    <t>easier to interpret/read/understand</t>
  </si>
  <si>
    <t>easy_to_interpret @ visualization (whole.visualization) [-]</t>
  </si>
  <si>
    <t>whoJ40_2.png</t>
  </si>
  <si>
    <t>The images are both very simple to digest; the colours in the orange chart are bold and distract me from the information conveyed.</t>
  </si>
  <si>
    <t>bold colors; distracting/confusing/unclear; easy to interpret/read/understand</t>
  </si>
  <si>
    <t>color variety/shading; distracting/confusing/unclear; easy/hard to interpret</t>
  </si>
  <si>
    <t>chart --&gt; whole.visualization [overall] | color_scheme --&gt; property.color [data_area] | information_content --&gt; content.data [data_area]</t>
  </si>
  <si>
    <t>bold_colors_used @ color_scheme (property.color) [+] | simple_to_digest @ chart (whole.visualization) [-]</t>
  </si>
  <si>
    <t>color_scheme(property.color) --distracts(raw:distracts_from)--&gt; information_content(content.data) [+]</t>
  </si>
  <si>
    <t>VASTC.107.10.png</t>
  </si>
  <si>
    <t>Amount of details, draw style, colors</t>
  </si>
  <si>
    <t>more detailed/things; drawing style; unclear colormaps</t>
  </si>
  <si>
    <t>color contrast/clarity; domain-specific concepts (e.g., chemical, biology, map); much/little data/info</t>
  </si>
  <si>
    <t>chart --&gt; whole.visualization [overall] | data_elements --&gt; content.data [data_area] | color_encoding --&gt; property.color [data_area] | graphical_marks --&gt; mark.element [data_area]</t>
  </si>
  <si>
    <t>high_amount_of_details @ data_elements (content.data) [+] | multiple_colors_present @ color_encoding (property.color) [+] | complex_draw_style @ graphical_marks (mark.element) [+]</t>
  </si>
  <si>
    <t>data_elements(content.data) --increases_clutter_via--&gt; color_encoding(property.color) [+] | graphical_marks(mark.element) --contributes_to--&gt; chart(whole.visualization) [+]</t>
  </si>
  <si>
    <t>economist_daily_chart_493.png</t>
  </si>
  <si>
    <t>chart --&gt; whole.visualization [overall] | data_elements --&gt; content.data [data_area] | color_scheme --&gt; property.color [overall] | draw_style --&gt; property.encoding [data_area]</t>
  </si>
  <si>
    <t>high_detail_density @ data_elements (content.data) [+] | multiple_colors_used @ color_scheme (property.color) [+] | complex_draw_style @ draw_style (property.encoding) [+]</t>
  </si>
  <si>
    <t>data_elements(content.data) --contributes_to_clutter--&gt; chart(whole.visualization) [+] | color_scheme(property.color) --increases_complexity(raw:increases_visual_complexity)--&gt; chart(whole.visualization) [+] | draw_style(property.encoding) --raises_cognitive_load_of--&gt; chart(whole.visualization) [+]</t>
  </si>
  <si>
    <t>VisJ.1261.4.png</t>
  </si>
  <si>
    <t>No numbers to identify anything, no chart with details, no bars, i don't know how to interpretate that image</t>
  </si>
  <si>
    <t>lack of/not enough axis labels/legend/annotations/context; not interpretable/readable/understandable</t>
  </si>
  <si>
    <t>easy/hard to interpret; labels/axes/legends</t>
  </si>
  <si>
    <t>chart --&gt; whole.visualization [overall] | labels --&gt; text.label [axes] | data_marks --&gt; content.data [data_area]</t>
  </si>
  <si>
    <t>no_numeric_labels @ labels (text.label) [+] | difficult_to_interpret @ chart (whole.visualization) [+] | unidentifiable_elements @ data_marks (content.data) [+]</t>
  </si>
  <si>
    <t>labels(text.label) --lacks_numeric_identifiers_on--&gt; data_marks(content.data) [+] | chart(whole.visualization) --requires_expertise(raw:requires_domain_knowledge_to_read)--&gt; data_marks(content.data) [+]</t>
  </si>
  <si>
    <t>visMost325.png</t>
  </si>
  <si>
    <t>less information; 1. Great detail in colorization of continents. 2. Small table in bottom left corner. 3. Tiny writing in bottom right corner. 4. Far more detailed looking in general.; the image on the right is darker and harder to see but has more going on and is very complex; map graph</t>
  </si>
  <si>
    <t>more detailed/things; small and simple; word rotation/small font size; domain-specific concepts (e.g., chemical, biology, map); color details; unclear coloring; more difficult to interpret/read/understand/differentiate</t>
  </si>
  <si>
    <t>color contrast/clarity; color variety/shading; domain-specific concepts (e.g., chemical, biology, map); easy/hard to interpret; much/little data/info; word rotation/small font size</t>
  </si>
  <si>
    <t>map --&gt; whole.visualization [data_area] | continents --&gt; structure.region [data_area] | table --&gt; structure.grid [overall] | text_labels --&gt; text.label [overall]</t>
  </si>
  <si>
    <t>familiar_map_format @ map (whole.visualization) [-] | dark_coloring @ map (whole.visualization) [+] | harder_to_see @ map (whole.visualization) [+] | high_visual_detail @ map (whole.visualization) [+] | multiple_continents_shown @ continents (structure.region) [+] | small_table_size @ table (structure.grid) [+] | tiny_writing @ text_labels (text.label) [+]</t>
  </si>
  <si>
    <t>map(whole.visualization) --contains_detail_of--&gt; continents(structure.region) [+] | map(whole.visualization) --has_more_going_on_than_expected--&gt; table(structure.grid) [+] | text_labels(text.label) --difficult_to_read_within--&gt; table(structure.grid) [+]</t>
  </si>
  <si>
    <t>v484_n7395_11_f1.png</t>
  </si>
  <si>
    <t>hard to identify/extract/find features; hard to interpret/read/understand</t>
  </si>
  <si>
    <t>chart --&gt; whole.visualization [overall] | color_encoding --&gt; property.color [data_area] | legend --&gt; furniture.legend [legend]</t>
  </si>
  <si>
    <t>hard_to_identify_colors @ color_encoding (property.color) [+] | difficult_to_understand @ chart (whole.visualization) [+]</t>
  </si>
  <si>
    <t>color_encoding(property.color) --increases_complexity(raw:increases_difficulty_of)--&gt; legend(furniture.legend) [+] | chart(whole.visualization) --imposes_high_cognitive_load_on--&gt; legend(furniture.legend) [+]</t>
  </si>
  <si>
    <t>visMost147.png</t>
  </si>
  <si>
    <t>On the left side, relevant data is mostly focused on about 1/3 of the image, the rest can be ignored. It is based on a familiar representation (the world map), which reduces the effort necessary to comprehend the meaning of the data.; So many individual dots would feel as a tough job to identify all the small and sparse dots; I see the image highlighted in orange as more complex because: - the color aspect (grey map on dark background) - visually too much color or details in a condensed zone - small font for the text in the description</t>
  </si>
  <si>
    <t>concentrated; more charts/points/lines/shapes/elements; too many details/divisions; word rotation/small font size; domain-specific concepts (e.g., chemical, biology, map); familiar representation; too many colors; easy to interpret/read/understand; hard to identify/extract/find features</t>
  </si>
  <si>
    <t>color variety/shading; domain-specific concepts (e.g., chemical, biology, map); easy/hard to interpret; more charts/points/lines/shapes/elements; overlapping shapes/colors/lines; word rotation/small font size</t>
  </si>
  <si>
    <t>world_map --&gt; whole.visualization [data_area] | dots --&gt; mark.point [data_area] | color_encoding --&gt; property.color [data_area] | description_text --&gt; text.label [annotation] | active_region --&gt; structure.region [data_area]</t>
  </si>
  <si>
    <t>familiar_representation @ world_map (whole.visualization) [-] | reduces_comprehension_effort @ world_map (whole.visualization) [-] | many_individual_dots @ dots (mark.point) [+] | small_and_sparse @ dots (mark.point) [+] | tough_to_identify @ dots (mark.point) [+] | too_much_color @ color_encoding (property.color) [+] | small_font_size @ description_text (text.label) [+] | concentrated_in_one_third @ active_region (structure.region) [-]</t>
  </si>
  <si>
    <t>dots(mark.point) --adds_detail_to--&gt; world_map(whole.visualization) [+] | world_map(whole.visualization) --provides_familiar_schema--&gt; dots(mark.point) [-] | active_region(structure.region) --limits_spread_of--&gt; dots(mark.point) [-] | color_encoding(property.color) --encodes_data_on--&gt; world_map(whole.visualization) [+]</t>
  </si>
  <si>
    <t>InfoVisJ.678.17.png</t>
  </si>
  <si>
    <t>The image on the right is layered and appears as only one thing to visually process.</t>
  </si>
  <si>
    <t>spatial organization; easy to interpret/read/understand</t>
  </si>
  <si>
    <t>2D/3D; easy/hard to interpret</t>
  </si>
  <si>
    <t>chart --&gt; whole.visualization [overall] | visual_element --&gt; mark.element [data_area]</t>
  </si>
  <si>
    <t>layered_structure @ chart (whole.visualization) [-] | single_visual_element @ visual_element (mark.element) [-]</t>
  </si>
  <si>
    <t>chart(whole.visualization) --contains_only--&gt; visual_element(mark.element) [-]</t>
  </si>
  <si>
    <t>whoK06_1.png</t>
  </si>
  <si>
    <t>more to look at and analyse more colours</t>
  </si>
  <si>
    <t>more to read/analyze/understand; color variety/arrangement/distribution</t>
  </si>
  <si>
    <t>color variety/shading; take longer to interpret</t>
  </si>
  <si>
    <t>chart --&gt; whole.visualization [overall] | color_encoding --&gt; property.color [data_area] | data_elements --&gt; content.data [data_area]</t>
  </si>
  <si>
    <t>multiple_colors_present @ color_encoding (property.color) [+] | high_information_volume @ data_elements (content.data) [+] | requires_extended_analysis @ data_elements (content.data) [+]</t>
  </si>
  <si>
    <t>color_encoding(property.color) --increases_complexity(raw:increases_visual_complexity_of)--&gt; chart(whole.visualization) [+] | data_elements(content.data) --adds_analytical_burden_to--&gt; chart(whole.visualization) [+]</t>
  </si>
  <si>
    <t>whoQ26.png</t>
  </si>
  <si>
    <t>Non-highlighted image also resembles a familiar geographic shape so it is easier to interpret.; The map is easily recognizable and straightforward at showing where things are. It looks simpler, with no more than three colors.; an easy to read map for the image; Again, I am not familiar with the world map, let alone the closer map you are showing in the picture, so therefore it seemed more complicated to me.; i like maps better; A charted map with points of interest, regions, and a key on the top.</t>
  </si>
  <si>
    <t>clear indication; regions; shape point of interest; legend on the top; domain-specific concepts (e.g., chemical, biology, map); familiar representation; unfamiliar concepts/patterns; inadequate/few coloring; easier to interpret/read/understand; easy to interpret/read/understand; more complicated</t>
  </si>
  <si>
    <t>domain-specific concepts (e.g., chemical, biology, map); easy/hard to interpret; inadequate/few coloring; labels/axes/legends; shape point of interest; shapes and lines; unclear meaning/confusing</t>
  </si>
  <si>
    <t>world_map --&gt; whole.visualization [data_area] | color_encoding --&gt; property.color [data_area] | legend --&gt; furniture.legend [title] | points_of_interest --&gt; mark.point [data_area] | regions --&gt; structure.region [data_area]</t>
  </si>
  <si>
    <t>familiar_geographic_shape @ world_map (whole.visualization) [-] | easily_recognizable @ world_map (whole.visualization) [-] | easy_to_read @ world_map (whole.visualization) [-] | straightforward_spatial_encoding @ world_map (whole.visualization) [-] | seemed_more_complicated @ world_map (whole.visualization) [+] | not_familiar_to_some @ world_map (whole.visualization) [+] | no_more_than_three_colors @ color_encoding (property.color) [-] | key_positioned_at_top @ legend (furniture.legend) [+] | multiple_points_of_interest @ points_of_interest (mark.point) [+] | distinct_regions_shown @ regions (structure.region) [+]</t>
  </si>
  <si>
    <t>legend(furniture.legend) --describes(raw:annotates)--&gt; world_map(whole.visualization) [+] | points_of_interest(mark.point) --overlaid_on--&gt; world_map(whole.visualization) [+] | regions(structure.region) --partitions--&gt; world_map(whole.visualization) [+] | color_encoding(property.color) --encodes--&gt; regions(structure.region) [-]</t>
  </si>
  <si>
    <t>economist_daily_chart_140.png</t>
  </si>
  <si>
    <t>The other image is easier to understand as the figures are displayed along with the countries, so with just a glance everything is summarized.; I chose the image with the orange complex because I am not familiar with the world map. I knew for certain that I did not know the countries highlighted, therefore, I was more confused.; while on the left, 3 axes: x, y, color</t>
  </si>
  <si>
    <t>more title/axis/label; title/axis/label/descriptions; domain-specific concepts (e.g., chemical, biology, map); unfamiliar concepts/patterns; color shading; unclear colormaps; easier to interpret/read/understand; easy to interpret/read/understand; unclear meaning/confusing</t>
  </si>
  <si>
    <t>color contrast/clarity; color variety/shading; domain-specific concepts (e.g., chemical, biology, map); easy/hard to interpret; labels/axes/legends; unclear meaning/confusing</t>
  </si>
  <si>
    <t>world_map --&gt; whole.visualization [data_area] | highlighted_countries --&gt; structure.region [data_area] | color_encoding --&gt; property.color [data_area] | x_axis --&gt; furniture.axes [axes] | y_axis --&gt; furniture.axes [axes] | legend --&gt; furniture.legend [legend]</t>
  </si>
  <si>
    <t>unfamiliar_geographic_schema @ world_map (whole.visualization) [+] | unrecognized_countries @ highlighted_countries (structure.region) [+] | multiple_countries_shown @ highlighted_countries (structure.region) [+] | orange_color_complex @ color_encoding (property.color) [+] | color_adds_complexity @ color_encoding (property.color) [+] | easy_to_read_axis @ x_axis (furniture.axes) [-] | harder_to_interpret_axis @ y_axis (furniture.axes) [+] | summarizes_at_glance @ legend (furniture.legend) [-] | overall_easier_to_understand @ world_map (whole.visualization) [-]</t>
  </si>
  <si>
    <t>highlighted_countries(structure.region) --causes_confusion_on--&gt; world_map(whole.visualization) [+] | color_encoding(property.color) --encodes_data_on--&gt; highlighted_countries(structure.region) [+] | x_axis(furniture.axes) --paired_with--&gt; y_axis(furniture.axes) [-] | legend(furniture.legend) --summarizes--&gt; world_map(whole.visualization) [-]</t>
  </si>
  <si>
    <t>v486_n7403_11_f2.png</t>
  </si>
  <si>
    <t>the data being visualized is more difficult to parse</t>
  </si>
  <si>
    <t>hard to identify/extract/find features</t>
  </si>
  <si>
    <t>difficult_to_parse @ visualization (whole.visualization) [+]</t>
  </si>
  <si>
    <t>economist_daily_chart_267.png</t>
  </si>
  <si>
    <t>Many different brands that i don't recognize. Soft colors makes it more appealing. Proportions of the numbers don't match the size of the circles, misleading.</t>
  </si>
  <si>
    <t>mismatched number-circle proportion; unfamiliar concepts/patterns; soft/layered/overlapping colors</t>
  </si>
  <si>
    <t>domain-specific concepts (e.g., chemical, biology, map); shapes and lines; soft/layered/overlapping colors</t>
  </si>
  <si>
    <t>circles --&gt; mark.point [data_area] | brand_labels --&gt; text.label [data_area] | color_scheme --&gt; property.color [overall]</t>
  </si>
  <si>
    <t>size_mismatches_values @ circles (mark.point) [+] | unfamiliar_brand_names @ brand_labels (text.label) [+] | soft_appealing_colors @ color_scheme (property.color) [+]</t>
  </si>
  <si>
    <t>circles(mark.point) --does_not_proportionally_encode--&gt; brand_labels(text.label) [+] | brand_labels(text.label) --requires_expertise(raw:requires_domain_knowledge_for)--&gt; circles(mark.point) [+]</t>
  </si>
  <si>
    <t>economist_daily_chart_317.png</t>
  </si>
  <si>
    <t>- World maps are well known for everybody - A map is easier to read than a chart; more factors included (countries), much more detailed, less structure; It gives more informations so we need to take more time to understand it. There are multiple legends.; map so im able to gauge some info graphically - little to no numbers; There is infinitely more information to be gleaned from the image of the world map. There is deeper, 'less obvious' information other than the key on the bottom left.; The world map is well known, you don*t need much attention to recognize it. The graph has a lot of similar instances. The colors in the map are easier to process than the numbers in the axis.; map is simple to understand</t>
  </si>
  <si>
    <t>more charts/points/lines/shapes/elements; much/more data/info/info spread; graphical information; axis numbers; easier to read; little/less text/numbers/context; domain-specific concepts (e.g., chemical, biology, map); color keys; intense/too many colors; unclear coloring; looks random/messy/lack structure; easier to process/visualize; easy to interpret/read/understand; simple to interpret/read/understand; take longer to interpret</t>
  </si>
  <si>
    <t>color contrast/clarity; color variety/shading; distracting/confusing/unclear; domain-specific concepts (e.g., chemical, biology, map); easy/hard to interpret; labels/axes/legends; little/less text/numbers/context; more charts/points/lines/shapes/elements; much/little data/info; take longer to interpret; word rotation/small font size</t>
  </si>
  <si>
    <t>world_map --&gt; whole.visualization [data_area] | countries --&gt; structure.region [data_area] | color_encoding --&gt; property.color [data_area] | axis_numbers --&gt; furniture.axes [axes] | legend --&gt; furniture.legend [legend]</t>
  </si>
  <si>
    <t>universally_familiar_format @ world_map (whole.visualization) [-] | easier_to_read_than_chart @ world_map (whole.visualization) [-] | simple_to_understand @ world_map (whole.visualization) [-] | less_structural_organization @ world_map (whole.visualization) [+] | requires_graphical_inference @ world_map (whole.visualization) [+] | much_more_detailed @ world_map (whole.visualization) [+] | takes_more_time_to_understand @ world_map (whole.visualization) [+] | many_similar_instances @ countries (structure.region) [-] | colors_aid_recognition @ color_encoding (property.color) [-] | little_to_no_numbers @ color_encoding (property.color) [+] | axis_numbers_present @ axis_numbers (furniture.axes) [-] | minimal_attention_needed @ world_map (whole.visualization) [-] | easier_to_process @ world_map (whole.visualization) [-]</t>
  </si>
  <si>
    <t>countries(structure.region) --displayed_on--&gt; world_map(whole.visualization) [-] | color_encoding(property.color) --encodes_data_across--&gt; countries(structure.region) [-] | world_map(whole.visualization) --lacks_structured_axes_like--&gt; axis_numbers(furniture.axes) [+] | color_encoding(property.color) --requires_graphical_gauging_from--&gt; legend(furniture.legend) [+]</t>
  </si>
  <si>
    <t>treasuryL11_2.png</t>
  </si>
  <si>
    <t>The ease of reading the graph</t>
  </si>
  <si>
    <t>easy to interpret/read/understand</t>
  </si>
  <si>
    <t>chart --&gt; whole.visualization [overall]</t>
  </si>
  <si>
    <t>easy_to_read @ chart (whole.visualization) [-]</t>
  </si>
  <si>
    <t>wsj72.png</t>
  </si>
  <si>
    <t>The image on the right is easier to process/compare/interpret than the image on the right; the first on is easy to understand</t>
  </si>
  <si>
    <t>easier to process/visualize; easy to interpret/read/understand</t>
  </si>
  <si>
    <t>chart --&gt; whole.visualization [overall] | data_elements --&gt; content.data [data_area]</t>
  </si>
  <si>
    <t>easy_to_understand @ chart (whole.visualization) [-] | easy_to_compare @ data_elements (content.data) [-] | straightforward_to_process @ chart (whole.visualization) [-]</t>
  </si>
  <si>
    <t>data_elements(content.data) --facilitates_interpretation_of--&gt; chart(whole.visualization) [-]</t>
  </si>
  <si>
    <t>InfoVisJ.2402.12.png</t>
  </si>
  <si>
    <t>I chose it based on colours, scale, number of shapes/details presented and readability. It had different colours, the shapes were varied, there was a significant difference in scale, and readability (meaning understanding what the picture represents) was more complex.; colors distribution their actions and use their size growing small as they go down</t>
  </si>
  <si>
    <t>more charts/points/lines/shapes/elements; scale difference; shapes varied; size decreasing; readability; color variety/arrangement/distribution</t>
  </si>
  <si>
    <t>color variety/shading; more charts/points/lines/shapes/elements; scale difference; shapes and lines; word rotation/small font size</t>
  </si>
  <si>
    <t>shapes --&gt; mark.shape [data_area] | color_encoding --&gt; property.color [data_area] | scale --&gt; furniture.scale [overall] | text_labels --&gt; text.label [axes]</t>
  </si>
  <si>
    <t>high_number_of_details @ shapes (mark.shape) [+] | varied_shape_types @ shapes (mark.shape) [+] | size_grows_small @ shapes (mark.shape) [-] | multiple_distinct_colors @ color_encoding (property.color) [-] | uneven_color_distribution @ color_encoding (property.color) [+] | significant_scale_difference @ scale (furniture.scale) [+] | reduced_readability @ text_labels (text.label) [+]</t>
  </si>
  <si>
    <t>shapes(mark.shape) --encoded_by--&gt; color_encoding(property.color) [-] | shapes(mark.shape) --varies_across--&gt; scale(furniture.scale) [+] | scale(furniture.scale) --affects_legibility_of--&gt; text_labels(text.label) [+]</t>
  </si>
  <si>
    <t>wsj99.png</t>
  </si>
  <si>
    <t>The highlighted image has a lot of details and figures and that makes it more difficult to read.</t>
  </si>
  <si>
    <t>more detailed/things; more difficult to interpret/read/understand/differentiate</t>
  </si>
  <si>
    <t>easy/hard to interpret; much/little data/info</t>
  </si>
  <si>
    <t>chart --&gt; whole.visualization [overall] | data_figures --&gt; content.data [data_area] | text_labels --&gt; text.label [axes]</t>
  </si>
  <si>
    <t>high_volume_of_details @ data_figures (content.data) [+] | numerous_figures_present @ data_figures (content.data) [+] | difficult_to_read @ text_labels (text.label) [+]</t>
  </si>
  <si>
    <t>data_figures(content.data) --increases_effort(raw:increases_cognitive_load_of)--&gt; chart(whole.visualization) [+] | text_labels(text.label) --contributes_to_difficulty_of--&gt; chart(whole.visualization) [+]</t>
  </si>
  <si>
    <t>economist_daily_chart_406.png</t>
  </si>
  <si>
    <t>The map on the left is immediately recognizable; the labels on the left image are clear and easy to read; the title of the visualization and therefore the purpose of the visualization is clearer on the left.</t>
  </si>
  <si>
    <t>clear title/axis/label; familiar representation</t>
  </si>
  <si>
    <t>domain-specific concepts (e.g., chemical, biology, map); labels/axes/legends</t>
  </si>
  <si>
    <t>chart --&gt; whole.visualization [overall] | labels --&gt; text.label [axes] | title --&gt; text.title [title]</t>
  </si>
  <si>
    <t>immediately_recognizable_form @ chart (whole.visualization) [-] | clear_and_easy_to_read @ labels (text.label) [-] | purpose_clearly_communicated @ title (text.title) [-]</t>
  </si>
  <si>
    <t>title(text.title) --clarifies_intent_of--&gt; chart(whole.visualization) [-] | labels(text.label) --aids_interpretation(raw:supports_readability_of)--&gt; chart(whole.visualization) [-]</t>
  </si>
  <si>
    <t>treasuryL03_2.png</t>
  </si>
  <si>
    <t>There is more information shown in the one I chose. It would take a longer amount of time to read, process and understand all of the information in the pie chart. I don't think everyone would understand what the pie chart is showing.</t>
  </si>
  <si>
    <t>much/more data/info/info spread; a specific technique; take longer to interpret</t>
  </si>
  <si>
    <t>domain-specific concepts (e.g., chemical, biology, map); much/little data/info; take longer to interpret</t>
  </si>
  <si>
    <t>pie_chart --&gt; whole.visualization [overall] | data_segments --&gt; content.data [data_area] | labels_text --&gt; text.label [annotation]</t>
  </si>
  <si>
    <t>circular_chart_form @ pie_chart (whole.visualization) [+] | high_information_volume @ data_segments (content.data) [+] | requires_extended_reading @ labels_text (text.label) [+] | slow_to_process @ pie_chart (whole.visualization) [+]</t>
  </si>
  <si>
    <t>data_segments(content.data) --increases_effort(raw:increases_cognitive_load_of)--&gt; pie_chart(whole.visualization) [+] | labels_text(text.label) --adds_information_density_to--&gt; pie_chart(whole.visualization) [+]</t>
  </si>
  <si>
    <t>VASTJ.91.6.png</t>
  </si>
  <si>
    <t>although I do not know what the point of the left image is, I do see that it's just text that's repeating multiple times.</t>
  </si>
  <si>
    <t>clear text/scale/information; unclear meaning/confusing</t>
  </si>
  <si>
    <t>text_labels --&gt; text.label [overall] | visualization --&gt; whole.visualization [overall]</t>
  </si>
  <si>
    <t>repeated_multiple_times @ text_labels (text.label) [+] | unclear_purpose @ visualization (whole.visualization) [+]</t>
  </si>
  <si>
    <t>text_labels(text.label) --increases_clutter_in--&gt; visualization(whole.visualization) [+]</t>
  </si>
  <si>
    <t>visMost457.png</t>
  </si>
  <si>
    <t>The right image would take a lot more time to understand and has more details</t>
  </si>
  <si>
    <t>more detailed/things; take longer to interpret</t>
  </si>
  <si>
    <t>much/little data/info; take longer to interpret</t>
  </si>
  <si>
    <t>visualization --&gt; whole.visualization [overall] | details --&gt; content.detail [data_area]</t>
  </si>
  <si>
    <t>high_detail_density @ details (content.detail) [+] | requires_extended_interpretation_time @ visualization (whole.visualization) [+]</t>
  </si>
  <si>
    <t>details(content.detail) --increases_effort(raw:increases_cognitive_load_of)--&gt; visualization(whole.visualization) [+]</t>
  </si>
  <si>
    <t>InfoVisC.173.7(1).png</t>
  </si>
  <si>
    <t>I don't really understand where I'm supposed to look.</t>
  </si>
  <si>
    <t>unclear where to look/what to see</t>
  </si>
  <si>
    <t>unclear_focal_point @ visualization (whole.visualization) [+]</t>
  </si>
  <si>
    <t>visMost393.png</t>
  </si>
  <si>
    <t>simple to understand.</t>
  </si>
  <si>
    <t>simple to interpret/read/understand</t>
  </si>
  <si>
    <t>simple_to_understand @ visualization (whole.visualization) [-]</t>
  </si>
  <si>
    <t>InfoVisC.115.3.png</t>
  </si>
  <si>
    <t>It had more colours, the graph did not have a linear pattern.And I didn't understand what the different axis ment.</t>
  </si>
  <si>
    <t>nonlinearity; title/axis/label/descriptions; color variety/arrangement/distribution; not interpretable/readable/understandable</t>
  </si>
  <si>
    <t>color variety/shading; domain-specific concepts (e.g., chemical, biology, map); easy/hard to interpret; labels/axes/legends</t>
  </si>
  <si>
    <t>chart --&gt; whole.visualization [overall] | color_encoding --&gt; property.color [data_area] | axes --&gt; furniture.axes [axes] | data_pattern --&gt; structure.pattern [data_area]</t>
  </si>
  <si>
    <t>multiple_colors_used @ color_encoding (property.color) [+] | different_axis_types @ axes (furniture.axes) [+] | non_linear_pattern @ data_pattern (structure.pattern) [+] | difficult_to_understand @ chart (whole.visualization) [+]</t>
  </si>
  <si>
    <t>color_encoding(property.color) --increases_clutter_in--&gt; chart(whole.visualization) [+] | axes(furniture.axes) --complicates_interpretation_of--&gt; data_pattern(structure.pattern) [+] | data_pattern(structure.pattern) --raises_cognitive_load_of--&gt; chart(whole.visualization) [+]</t>
  </si>
  <si>
    <t>whoQ58_4.png</t>
  </si>
  <si>
    <t>straight to the point</t>
  </si>
  <si>
    <t>intuitive</t>
  </si>
  <si>
    <t>straightforward_and_concise @ visualization (whole.visualization) [-]</t>
  </si>
  <si>
    <t>vis853.png</t>
  </si>
  <si>
    <t>The colour of the images. The writing on the left image is very small, compared to the text on the right. There are images on the left picture.</t>
  </si>
  <si>
    <t>word rotation/small font size; unclear colormaps</t>
  </si>
  <si>
    <t>color contrast/clarity; word rotation/small font size</t>
  </si>
  <si>
    <t>image --&gt; whole.visualization [data_area] | text_label --&gt; text.label [axes]</t>
  </si>
  <si>
    <t>varied_color_usage @ image (whole.visualization) [+] | very_small_writing @ text_label (text.label) [+]</t>
  </si>
  <si>
    <t>text_label(text.label) --reduces_legibility_of--&gt; image(whole.visualization) [+]</t>
  </si>
  <si>
    <t>whoQ58_3.png</t>
  </si>
  <si>
    <t>1) the colour coding and layering of the colours makes the data appear more complex in the orange one; The colors are very similar and can be confusing. Both of them are easy to understand.; number of colors; Amount of information; Data with similar colors make it difficult to read; There are many different colors that show different countries and it took longer to understand because everyone line is "stacked" on another if that makes sense.; A cohesive whole; 1. the choice of colour is boring, 2. the curve seems complex 3. lots of numbers involved. 4. too much info; decipher while reading.; the more traditional ways of reporting means and CIs; The orange images is more understandable; Graphs are really easy to understand for me, graphs usually simply has a time line with an X and Y axis I can easily follow; The graph seems to provide information over a number of years rather than a single point in time. Image uses lots of different shades of orange.; a complex graphic; It shows more information (3 layers: countries, cases, and years).</t>
  </si>
  <si>
    <t>much/more data/info/info spread; overlapping shapes/colors/lines; too much data/info; curves and shapes; multi-year information; amount of words/context/numbers; lack of/not enough axis labels/legend/annotations/context; more title/axis/label; no measurement/metric/axis; a specific technique; familiar representation; color shading; color variety/arrangement/distribution; distinguishable color variety/arrangement/distribution; lack of color contrast / hard to distinguish colors; unclear colormaps; distracting/confusing/unclear; unclear colors/contrast; easy to focus/follow; easy to interpret/read/understand; hard to interpret/read/understand/differentiate; intuitive; low readability; more complicated; more to read/analyze/understand; take longer to interpret</t>
  </si>
  <si>
    <t>amount of words/context/numbers; color contrast/clarity; color variety/shading; distinguishable color variety/arrangement/distribution; distracting/confusing/unclear; domain-specific concepts (e.g., chemical, biology, map); easy/hard to interpret; labels/axes/legends; much/little data/info; overlapping shapes/colors/lines; shapes and lines; take longer to interpret; unclear colors/contrast</t>
  </si>
  <si>
    <t>chart --&gt; whole.visualization [overall] | lines --&gt; mark.line [data_area] | colors --&gt; property.color [data_area] | axes --&gt; furniture.axes [axes] | numbers --&gt; content.number [data_area] | legend --&gt; furniture.legend [legend]</t>
  </si>
  <si>
    <t>easy_to_understand @ chart (whole.visualization) [-] | can_be_confusing @ chart (whole.visualization) [+] | took_longer_to_understand @ chart (whole.visualization) [+] | too_much_information @ chart (whole.visualization) [+] | traditional_statistics_reporting @ chart (whole.visualization) [-] | cohesive_whole @ chart (whole.visualization) [-] | information_over_many_years @ chart (whole.visualization) [+] | difficult_to_read @ chart (whole.visualization) [+] | low_readability @ chart (whole.visualization) [+] | stacked_on_each_other @ lines (mark.line) [+] | curve_seems_complex @ lines (mark.line) [+] | many_different_colors @ colors (property.color) [+] | similar_colors @ colors (property.color) [+] | different_shades_of_orange @ colors (property.color) [+] | boring_color_choice @ colors (property.color) [+] | number_of_colors @ colors (property.color) [-] | color_coding_present @ colors (property.color) [-] | x_and_y_axis_present @ axes (furniture.axes) [-] | no_graph_metrics_given @ axes (furniture.axes) [-] | lots_of_numbers @ numbers (content.number) [+] | numbers_do_not_make_sense @ numbers (content.number) [+]</t>
  </si>
  <si>
    <t>lines(mark.line) --difficult_to_decipher_while--&gt; chart(whole.visualization) [+] | colors(property.color) --layered_causing_clutter_in--&gt; lines(mark.line) [+] | colors(property.color) --are_similar_making_hard_to_distinguish_in--&gt; lines(mark.line) [+] | numbers(content.number) --contributes_to_high_density_of--&gt; chart(whole.visualization) [+] | axes(furniture.axes) --aids_easy_following_of--&gt; chart(whole.visualization) [-]</t>
  </si>
  <si>
    <t>wsj511.png</t>
  </si>
  <si>
    <t>In the image on the right you can see at a glance all the data as drawn and it is clearer to me.</t>
  </si>
  <si>
    <t>clear colors/shapes; easy to interpret/read/understand</t>
  </si>
  <si>
    <t>clear colors/shapes; easy/hard to interpret</t>
  </si>
  <si>
    <t>chart --&gt; whole.visualization [overall] | data_area --&gt; structure.region [data_area]</t>
  </si>
  <si>
    <t>visually_clear_layout @ chart (whole.visualization) [-] | low_cognitive_load @ chart (whole.visualization) [-] | quickly_interpretable @ data_area (structure.region) [-]</t>
  </si>
  <si>
    <t>chart(whole.visualization) --enables_at_a_glance_reading--&gt; data_area(structure.region) [-]</t>
  </si>
  <si>
    <t>vis630.png</t>
  </si>
  <si>
    <t>More words. Brighter colours.</t>
  </si>
  <si>
    <t>more texts/words; bright colors</t>
  </si>
  <si>
    <t>amount of words/context/numbers; bright colors</t>
  </si>
  <si>
    <t>text_labels --&gt; text.label [overall] | color_encoding --&gt; property.color [data_area]</t>
  </si>
  <si>
    <t>high_word_count @ text_labels (text.label) [+] | bright_vivid_colors @ color_encoding (property.color) [+]</t>
  </si>
  <si>
    <t>text_labels(text.label) --increases_cognitive_load_with--&gt; color_encoding(property.color) [+]</t>
  </si>
  <si>
    <t>economist_daily_chart_124.png</t>
  </si>
  <si>
    <t>More colours and text to interpret; The other purely incorporates the use of color; The left has more words for the regions, lots of regions, and a key with color coding.; a map and the legend in the bottom left gives away what the image is about.; i assumed the country shapes weren't that much more complex than dots.; The left image feels more cluttered and has a lot of words, different colours, and a legend explaining the purpose and all the different colours. The reason the map makes more sense is due to the legend; without it, the left image would have far more clutter and is less clear at a glance.; -variation in colours / shades -spatial organization -amount of words describing data; Lots of words and colors, many categories in the legend; a continent with countries im already familiar wiht; Image 2 is more detailed. Image 2 is easily understandable. Image 2 can easily be remembered.; a map of Africa â€” my gut reaction was that I recognized the map but had no idea what the colors represented.; color, pattern, nonlinearity, geo-map; range and contrast of colours; 1. It looks easier to understand 2. Few details 3. I am certain i can understand it more quickly</t>
  </si>
  <si>
    <t>dense/cluttered layout; little data/info; more regions/space; more forms; nonlinearity; shapes; spatial organization; amount of words/context/numbers; many legend categories; more texts/words; too much legend; word/text/sentence; domain-specific concepts (e.g., chemical, biology, map); familiar representation; unfamiliar concepts/patterns; color keys; color variety/arrangement/distribution; good color contrast/separation/segmentation; soft/layered/overlapping colors; unclear color meaning; easier to interpret/read/understand; easy to interpret/read/understand; easy to understand; less clear; more to read/analyze/understand; unclear meaning/confusing</t>
  </si>
  <si>
    <t>2D/3D; amount of words/context/numbers; color contrast/clarity; color variety/shading; domain-specific concepts (e.g., chemical, biology, map); easy/hard to interpret; labels/axes/legends; more charts/points/lines/shapes/elements; more regions/space; much/little data/info; overlapping shapes/colors/lines; shapes and lines; soft/layered/overlapping colors; take longer to interpret; unclear meaning/confusing</t>
  </si>
  <si>
    <t>map --&gt; whole.visualization [data_area] | countries --&gt; structure.region [data_area] | legend --&gt; furniture.legend [legend] | color_coding --&gt; property.color [legend] | text_labels --&gt; text.label [data_area] | color_scheme --&gt; property.color [overall]</t>
  </si>
  <si>
    <t>geo_map_format @ map (whole.visualization) [-] | africa_map_recognized @ map (whole.visualization) [-] | familiar_spatial_form @ map (whole.visualization) [-] | spatial_organization_complex @ map (whole.visualization) [+] | more_cluttered_layout @ map (whole.visualization) [+] | less_clear_at_glance @ map (whole.visualization) [+] | lots_of_regions @ countries (structure.region) [+] | country_shapes_familiar @ countries (structure.region) [-] | continent_with_countries @ countries (structure.region) [-] | many_legend_categories @ legend (furniture.legend) [+] | legend_present @ legend (furniture.legend) [+] | color_coding_present @ color_coding (property.color) [+] | nonlinear_color_scale @ color_coding (property.color) [+] | colors_unclear_meaning @ color_coding (property.color) [-] | lots_of_words @ text_labels (text.label) [+] | amount_of_descriptive_text @ text_labels (text.label) [+] | variation_in_color_shades @ color_scheme (property.color) [+] | range_and_contrast_of_colors @ color_scheme (property.color) [-] | many_colors_used @ color_scheme (property.color) [+] | different_colors_distinguishable @ color_scheme (property.color) [-]</t>
  </si>
  <si>
    <t>legend(furniture.legend) --encodes_via--&gt; color_coding(property.color) [+] | color_coding(property.color) --applied_to--&gt; countries(structure.region) [+] | text_labels(text.label) --describes(raw:annotates)--&gt; map(whole.visualization) [+] | color_scheme(property.color) --differentiates--&gt; countries(structure.region) [-] | legend(furniture.legend) --increases_complexity(raw:increases_complexity_of)--&gt; map(whole.visualization) [+]</t>
  </si>
  <si>
    <t>whoK16_3.png</t>
  </si>
  <si>
    <t>The one I did not choose is a simple pie chart.</t>
  </si>
  <si>
    <t>a specific technique</t>
  </si>
  <si>
    <t>domain-specific concepts (e.g., chemical, biology, map)</t>
  </si>
  <si>
    <t>pie_chart --&gt; whole.visualization [overall]</t>
  </si>
  <si>
    <t>familiar_chart_type @ pie_chart (whole.visualization) [-]</t>
  </si>
  <si>
    <t>whoO10_2.png</t>
  </si>
  <si>
    <t>because im used to round tables like the other one</t>
  </si>
  <si>
    <t>table --&gt; structure.grid [data_area]</t>
  </si>
  <si>
    <t>round_shape @ table (structure.grid) [-]</t>
  </si>
  <si>
    <t>InfoVisJ.1634.6.png</t>
  </si>
  <si>
    <t>Both have 3 variables.</t>
  </si>
  <si>
    <t>multivariate</t>
  </si>
  <si>
    <t>multivariate_data_representation @ visualization (whole.visualization) [+]</t>
  </si>
  <si>
    <t>VASTJ.828.7.png</t>
  </si>
  <si>
    <t>more graphic; no or few data; not a lot of contrast</t>
  </si>
  <si>
    <t>little data/info; lack of color contrast / hard to distinguish colors</t>
  </si>
  <si>
    <t>color contrast/clarity; much/little data/info</t>
  </si>
  <si>
    <t>chart --&gt; whole.visualization [overall] | data_elements --&gt; content.data [data_area] | color_scheme --&gt; property.color [overall]</t>
  </si>
  <si>
    <t>few_or_no_data_points @ data_elements (content.data) [+] | low_color_contrast @ color_scheme (property.color) [+]</t>
  </si>
  <si>
    <t>data_elements(content.data) --contributes_to_ambiguity_in--&gt; chart(whole.visualization) [+] | color_scheme(property.color) --reduces_distinguishability_in--&gt; chart(whole.visualization) [+]</t>
  </si>
  <si>
    <t>VASTJ.320.11.png</t>
  </si>
  <si>
    <t>almost no explanation; lack of/not enough axis labels/legend/annotations/context; no measurement/metric</t>
  </si>
  <si>
    <t>chart --&gt; whole.visualization [overall] | axis --&gt; furniture.axes [axes] | legend --&gt; furniture.legend [legend] | annotation --&gt; text.annotation [annotation]</t>
  </si>
  <si>
    <t>axis_absent @ axis (furniture.axes) [+] | graphic_legend_missing @ legend (furniture.legend) [+] | almost_no_explanation @ annotation (text.annotation) [+]</t>
  </si>
  <si>
    <t>axis(furniture.axes) --absent_from--&gt; chart(whole.visualization) [+] | legend(furniture.legend) --absent_from--&gt; chart(whole.visualization) [+] | annotation(text.annotation) --insufficient_context_for--&gt; chart(whole.visualization) [+]</t>
  </si>
  <si>
    <t>InfoVisJ.978.3.png</t>
  </si>
  <si>
    <t>It's not intuitive enough for me</t>
  </si>
  <si>
    <t>not intuitive/simple data</t>
  </si>
  <si>
    <t>distracting/confusing/unclear</t>
  </si>
  <si>
    <t>not_intuitive_to_interpret @ visualization (whole.visualization) [+]</t>
  </si>
  <si>
    <t>InfoVisJ.599.4.png</t>
  </si>
  <si>
    <t>Geographical maps are less complex to me</t>
  </si>
  <si>
    <t>domain-specific concepts (e.g., chemical, biology, map); easy to derive meaning</t>
  </si>
  <si>
    <t>geographical_map --&gt; whole.visualization [data_area]</t>
  </si>
  <si>
    <t>familiar_map_format @ geographical_map (whole.visualization) [-] | low_perceived_complexity @ geographical_map (whole.visualization) [-]</t>
  </si>
  <si>
    <t>geographical_map(whole.visualization) --reduces_cognitive_load--&gt; geographical_map(whole.visualization) [-]</t>
  </si>
  <si>
    <t>whoJ48_2.png</t>
  </si>
  <si>
    <t>It is very clear from the map what the colours represent</t>
  </si>
  <si>
    <t>domain-specific concepts (e.g., chemical, biology, map); unclear colormaps</t>
  </si>
  <si>
    <t>color contrast/clarity; domain-specific concepts (e.g., chemical, biology, map)</t>
  </si>
  <si>
    <t>map --&gt; whole.visualization [data_area] | colors --&gt; property.color [data_area]</t>
  </si>
  <si>
    <t>familiar_map_format @ map (whole.visualization) [-] | multiple_colors_present @ colors (property.color) [+]</t>
  </si>
  <si>
    <t>colors(property.color) --applied_across--&gt; map(whole.visualization) [+]</t>
  </si>
  <si>
    <t>vis718.png</t>
  </si>
  <si>
    <t>dots</t>
  </si>
  <si>
    <t>unclear colormaps</t>
  </si>
  <si>
    <t>color contrast/clarity</t>
  </si>
  <si>
    <t>dots --&gt; mark.point [data_area]</t>
  </si>
  <si>
    <t>simple_dot_marks @ dots (mark.point) [-]</t>
  </si>
  <si>
    <t>InfoVisJ.1634.1.png</t>
  </si>
  <si>
    <t>This image has no description, I have no idea what this is.</t>
  </si>
  <si>
    <t>lack of/not enough axis labels/legend/annotations/context; unclear meaning/confusing</t>
  </si>
  <si>
    <t>labels/axes/legends; unclear meaning/confusing</t>
  </si>
  <si>
    <t>no_descriptive_text @ visualization (whole.visualization) [+] | purpose_unclear @ visualization (whole.visualization) [+] | requires_domain_knowledge @ visualization (whole.visualization) [+] | high_interpretive_difficulty @ visualization (whole.visualization) [+]</t>
  </si>
  <si>
    <t>visualization(whole.visualization) --lacks_contextual_explanation--&gt; visualization(whole.visualization) [+]</t>
  </si>
  <si>
    <t>InfoVisC.211.8.png</t>
  </si>
  <si>
    <t>variety of very bright colors; segmentation of colors; text at the bottom; A map is more familiar - Explanatory legend</t>
  </si>
  <si>
    <t>clear text arrangement/density; explanatory legend; domain-specific concepts (e.g., chemical, biology, map); bright colors; color variety/arrangement/distribution</t>
  </si>
  <si>
    <t>bright colors; clear text arrangement/density; color variety/shading; domain-specific concepts (e.g., chemical, biology, map); labels/axes/legends</t>
  </si>
  <si>
    <t>legend --&gt; furniture.legend [legend] | map --&gt; whole.visualization [data_area] | color_segments --&gt; mark.color_segment [data_area] | bottom_text --&gt; text.label [annotation]</t>
  </si>
  <si>
    <t>explanatory_and_clear @ legend (furniture.legend) [-] | familiar_structure @ map (whole.visualization) [-] | segmented_color_regions @ color_segments (mark.color_segment) [+] | variety_of_bright_colors @ color_segments (mark.color_segment) [+] | dense_bottom_text @ bottom_text (text.label) [+]</t>
  </si>
  <si>
    <t>legend(furniture.legend) --simplifies(raw:reduces_complexity_of)--&gt; color_segments(mark.color_segment) [-] | color_segments(mark.color_segment) --increases_clutter_in--&gt; map(whole.visualization) [+] | bottom_text(text.label) --adds_cognitive_load_to--&gt; map(whole.visualization) [+]</t>
  </si>
  <si>
    <t>InfoVisJ.2072.16.png</t>
  </si>
  <si>
    <t>1) Lots of boxes 2) lots of text 3) lots of colors</t>
  </si>
  <si>
    <t>more charts/points/lines/shapes/elements; amount of words/context/numbers; color variety/arrangement/distribution</t>
  </si>
  <si>
    <t>amount of words/context/numbers; color variety/shading; more charts/points/lines/shapes/elements</t>
  </si>
  <si>
    <t>boxes --&gt; mark.shape [data_area] | text --&gt; text.label [overall] | colors --&gt; property.color [overall]</t>
  </si>
  <si>
    <t>high_quantity_boxes @ boxes (mark.shape) [+] | high_text_volume @ text (text.label) [+] | many_colors_present @ colors (property.color) [+]</t>
  </si>
  <si>
    <t>boxes(mark.shape) --contains--&gt; text(text.label) [+] | boxes(mark.shape) --encoded_with--&gt; colors(property.color) [+] | text(text.label) --increases_load_alongside--&gt; colors(property.color) [+]</t>
  </si>
  <si>
    <t>SciVisJ.700.5.png</t>
  </si>
  <si>
    <t>have more data</t>
  </si>
  <si>
    <t>high_data_volume @ visualization (whole.visualization) [+]</t>
  </si>
  <si>
    <t>InfoVisJ.881.15.png</t>
  </si>
  <si>
    <t>I choose that because I recognised there is more data in the right side. Also there can be more variable thats why it came to me more complex.</t>
  </si>
  <si>
    <t>more parameters/variables; much/more data/info/info spread</t>
  </si>
  <si>
    <t>more parameters/variables; much/little data/info</t>
  </si>
  <si>
    <t>chart --&gt; whole.visualization [overall] | data_points --&gt; mark.point [data_area] | variables --&gt; content.data [axes]</t>
  </si>
  <si>
    <t>high_data_volume @ data_points (mark.point) [+] | multiple_variables_present @ variables (content.data) [+]</t>
  </si>
  <si>
    <t>data_points(mark.point) --increases_clutter_in--&gt; chart(whole.visualization) [+] | variables(content.data) --adds_interpretive_demand_to--&gt; chart(whole.visualization) [+]</t>
  </si>
  <si>
    <t>InfoVisC.115.4.png</t>
  </si>
  <si>
    <t>the color and the number of different thing in the same area is so dificult to see whats about</t>
  </si>
  <si>
    <t>many points/lines/shapes/elements; color variety/arrangement/distribution; hard to see/tell/visualize</t>
  </si>
  <si>
    <t>color variety/shading; easy/hard to interpret; more charts/points/lines/shapes/elements</t>
  </si>
  <si>
    <t>data_area --&gt; structure.region [data_area] | color_encoding --&gt; property.color [data_area] | chart_elements --&gt; whole.visualization [data_area]</t>
  </si>
  <si>
    <t>many_elements_same_area @ chart_elements (whole.visualization) [+] | multiple_colors_same_area @ color_encoding (property.color) [+] | difficult_to_interpret_content @ data_area (structure.region) [+]</t>
  </si>
  <si>
    <t>chart_elements(whole.visualization) --overlaps_within--&gt; data_area(structure.region) [+] | color_encoding(property.color) --clutters--&gt; data_area(structure.region) [+]</t>
  </si>
  <si>
    <t>vis278.png</t>
  </si>
  <si>
    <t>clean lines</t>
  </si>
  <si>
    <t>shapes and lines</t>
  </si>
  <si>
    <t>clean_lines @ chart (whole.visualization) [-]</t>
  </si>
  <si>
    <t>economist_daily_chart_110.png</t>
  </si>
  <si>
    <t>range of colours more physical content than the other image both text shapes and geography included red is a harsh colour compared to dark green</t>
  </si>
  <si>
    <t>many/more data/info; domain-specific concepts (e.g., chemical, biology, map); color variety/arrangement/distribution; good color contrast/separation/segmentation; unclear coloring</t>
  </si>
  <si>
    <t>color contrast/clarity; color variety/shading; domain-specific concepts (e.g., chemical, biology, map); more charts/points/lines/shapes/elements</t>
  </si>
  <si>
    <t>map --&gt; whole.visualization [data_area] | text_labels --&gt; text.label [data_area] | geographic_shapes --&gt; structure.region [data_area] | color_scheme --&gt; property.color [overall] | dark_green_region --&gt; structure.region [data_area] | red_region --&gt; structure.region [data_area]</t>
  </si>
  <si>
    <t>high_physical_content @ map (whole.visualization) [+] | text_overlaid_on_geography @ text_labels (text.label) [+] | complex_geographic_shapes @ geographic_shapes (structure.region) [+] | wide_color_range @ color_scheme (property.color) [+] | dark_green_color @ dark_green_region (structure.region) [-] | harsh_red_color @ red_region (structure.region) [+]</t>
  </si>
  <si>
    <t>text_labels(text.label) --overlaps_with--&gt; geographic_shapes(structure.region) [+] | red_region(structure.region) --differentiates(raw:contrasts_with)--&gt; dark_green_region(structure.region) [+] | color_scheme(property.color) --increases_effort(raw:increases_cognitive_load_of)--&gt; map(whole.visualization) [+]</t>
  </si>
  <si>
    <t>InfoVisC.173.9(1).png</t>
  </si>
  <si>
    <t>From far away, all you see is a mix of color which is frightening at first glance</t>
  </si>
  <si>
    <t>color variety/arrangement/distribution; looks random/messy/lack structure</t>
  </si>
  <si>
    <t>color variety/shading; distracting/confusing/unclear</t>
  </si>
  <si>
    <t>visualization --&gt; whole.visualization [overall] | color_scheme --&gt; property.color [data_area]</t>
  </si>
  <si>
    <t>mixed_color_variety @ color_scheme (property.color) [+] | overwhelming_first_impression @ visualization (whole.visualization) [+] | high_cognitive_load @ visualization (whole.visualization) [+]</t>
  </si>
  <si>
    <t>color_scheme(property.color) --contributes_to--&gt; visualization(whole.visualization) [+]</t>
  </si>
  <si>
    <t>InfoVisC.24.8.png</t>
  </si>
  <si>
    <t>Looks more "chaotic" Less structured More data?</t>
  </si>
  <si>
    <t>much/more data/info/info spread; looks random/messy/lack structure</t>
  </si>
  <si>
    <t>distracting/confusing/unclear; much/little data/info</t>
  </si>
  <si>
    <t>chart --&gt; whole.visualization [overall] | data_elements --&gt; content.data [data_area] | layout_structure --&gt; structure.layout [overall]</t>
  </si>
  <si>
    <t>high_data_volume @ data_elements (content.data) [+] | lacks_clear_organization @ layout_structure (structure.layout) [+] | chaotic_visual_appearance @ chart (whole.visualization) [+]</t>
  </si>
  <si>
    <t>data_elements(content.data) --contributes_to--&gt; chart(whole.visualization) [+] | layout_structure(structure.layout) --increases_effort(raw:increases_cognitive_load_of)--&gt; chart(whole.visualization) [+]</t>
  </si>
  <si>
    <t>InfoVisC.24.8(1).png</t>
  </si>
  <si>
    <t>Values - Graphic and vales have logic (left one is more complex at least the right can see words). Graphs generation - how the graph is generated, size, length, points (left one is more complex).both are complex.</t>
  </si>
  <si>
    <t>value representation; clear title/axis/label</t>
  </si>
  <si>
    <t>2D/3D; labels/axes/legends</t>
  </si>
  <si>
    <t>graphic --&gt; whole.visualization [data_area] | values --&gt; content.number [data_area] | text_labels --&gt; text.label [overall]</t>
  </si>
  <si>
    <t>has_internal_logic @ graphic (whole.visualization) [+] | logically_structured_values @ values (content.number) [+] | words_clearly_visible @ text_labels (text.label) [-]</t>
  </si>
  <si>
    <t>graphic(whole.visualization) --aligned_with--&gt; values(content.number) [+]</t>
  </si>
  <si>
    <t>InfoVisJ.1054.3.png</t>
  </si>
  <si>
    <t>readability; amount of / too many colors</t>
  </si>
  <si>
    <t>chart --&gt; whole.visualization [overall] | data_entities --&gt; content.data [data_area] | color_encoding --&gt; property.color [data_area] | text_labels --&gt; text.label [data_area]</t>
  </si>
  <si>
    <t>high_entity_count @ data_entities (content.data) [+] | high_information_density @ chart (whole.visualization) [+] | numerous_colors_used @ color_encoding (property.color) [+] | poor_readability @ text_labels (text.label) [+]</t>
  </si>
  <si>
    <t>data_entities(content.data) --increases_clutter_in--&gt; chart(whole.visualization) [+] | color_encoding(property.color) --complicates_interpretation_of--&gt; data_entities(content.data) [+] | text_labels(text.label) --hinders_comprehension_of--&gt; chart(whole.visualization) [+]</t>
  </si>
  <si>
    <t>economist_daily_chart_106.png</t>
  </si>
  <si>
    <t>Data is harder to compare on the right.</t>
  </si>
  <si>
    <t>more difficult to compare/discern/distinguish</t>
  </si>
  <si>
    <t>difficult_cross_element_comparison @ chart (whole.visualization) [+]</t>
  </si>
  <si>
    <t>InfoVisC.57.4.png</t>
  </si>
  <si>
    <t>lots of colours close together; not sure what the circles in the middle are representing</t>
  </si>
  <si>
    <t>unclear shape meaning; color variety/arrangement/distribution</t>
  </si>
  <si>
    <t>color variety/shading; unclear meaning/confusing</t>
  </si>
  <si>
    <t>circles --&gt; mark.point [data_area] | color_scheme --&gt; property.color [data_area]</t>
  </si>
  <si>
    <t>unclear_representation @ circles (mark.point) [+] | ambiguous_visual_encoding @ circles (mark.point) [+] | many_colors_present @ color_scheme (property.color) [+] | colors_densely_clustered @ color_scheme (property.color) [+]</t>
  </si>
  <si>
    <t>color_scheme(property.color) --increases_clutter_around--&gt; circles(mark.point) [+] | circles(mark.point) --requires_interpretation_effort--&gt; color_scheme(property.color) [+]</t>
  </si>
  <si>
    <t>wsj226.png</t>
  </si>
  <si>
    <t>much more detailed. It shows me how much crop each country/region produces and how that changed over one year.</t>
  </si>
  <si>
    <t>change over time; crop production shown</t>
  </si>
  <si>
    <t>chart --&gt; whole.visualization [overall] | country_region --&gt; structure.region [data_area] | crop_type --&gt; content.category [data_area] | time_period --&gt; content.category [axes]</t>
  </si>
  <si>
    <t>multiple_countries_regions @ country_region (structure.region) [+] | multiple_crop_categories @ crop_type (content.category) [+] | one_year_change_shown @ time_period (content.category) [+] | temporal_comparison_required @ chart (whole.visualization) [+]</t>
  </si>
  <si>
    <t>country_region(structure.region) --mapped_to--&gt; crop_type(content.category) [+] | chart(whole.visualization) --encodes_change_over--&gt; time_period(content.category) [+]</t>
  </si>
  <si>
    <t>InfoVisJ.1204.7.png</t>
  </si>
  <si>
    <t>more objects columns, thus more data to comprehend.</t>
  </si>
  <si>
    <t>more charts/points/lines/shapes/elements; hard to interpret/read/understand</t>
  </si>
  <si>
    <t>easy/hard to interpret; more charts/points/lines/shapes/elements</t>
  </si>
  <si>
    <t>data_elements --&gt; content.data [data_area] | chart --&gt; whole.visualization [overall]</t>
  </si>
  <si>
    <t>high_object_count @ data_elements (content.data) [+] | large_data_volume @ chart (whole.visualization) [+]</t>
  </si>
  <si>
    <t>data_elements(content.data) --increases_effort(raw:increases_cognitive_load_of)--&gt; chart(whole.visualization) [+]</t>
  </si>
  <si>
    <t>wsj292.png</t>
  </si>
  <si>
    <t>The orange highlighted image has more information in it. I define visual complexity and how difficult something is to comprehend and therefor the more information something has the more visually complex the item.</t>
  </si>
  <si>
    <t>hard to interpret/read/understand</t>
  </si>
  <si>
    <t>difficult_to_comprehend @ visualization (whole.visualization) [+]</t>
  </si>
  <si>
    <t>economist_daily_chart_75.png</t>
  </si>
  <si>
    <t>There are more bars on the graph There are more factors It is harder to read with the bars extending horizontally</t>
  </si>
  <si>
    <t>more charts/points/lines/shapes/elements; horizontal bars; more difficult to interpret/read/understand/differentiate</t>
  </si>
  <si>
    <t>easy/hard to interpret; more charts/points/lines/shapes/elements; shapes and lines</t>
  </si>
  <si>
    <t>bars --&gt; mark.bar [data_area] | horizontal_axis --&gt; furniture.axes [axes] | chart --&gt; whole.visualization [overall]</t>
  </si>
  <si>
    <t>high_bar_count @ bars (mark.bar) [+] | extends_horizontally @ bars (mark.bar) [+] | harder_to_read @ chart (whole.visualization) [+]</t>
  </si>
  <si>
    <t>bars(mark.bar) --increases_clutter_in--&gt; chart(whole.visualization) [+] | bars(mark.bar) --extends_along--&gt; horizontal_axis(furniture.axes) [+]</t>
  </si>
  <si>
    <t>VASTJ.1720.4.png</t>
  </si>
  <si>
    <t>The one on the right is a simple bar graph. I could gather a little bit what it meant.</t>
  </si>
  <si>
    <t>bar_graph --&gt; whole.visualization [overall] | bars --&gt; mark.bar [data_area]</t>
  </si>
  <si>
    <t>simple_chart_type @ bar_graph (whole.visualization) [-] | easily_interpretable @ bar_graph (whole.visualization) [-] | straightforward_encoding @ bars (mark.bar) [-]</t>
  </si>
  <si>
    <t>bar_graph(whole.visualization) --affords_quick_understanding--&gt; bars(mark.bar) [-]</t>
  </si>
  <si>
    <t>InfoVisJ.2639.8.png</t>
  </si>
  <si>
    <t>The color bar seems more complex and takes me longer to interpret.</t>
  </si>
  <si>
    <t>color variety/arrangement/distribution; colored bars/charts; more complicated; more to read/analyze/understand; take longer to interpret; unclear meaning/confusing</t>
  </si>
  <si>
    <t>color variety/shading; easy/hard to interpret; take longer to interpret; unclear meaning/confusing</t>
  </si>
  <si>
    <t>color_bar --&gt; mark.bar [legend] | visualization --&gt; whole.visualization [overall]</t>
  </si>
  <si>
    <t>adds_visual_complexity @ color_bar (mark.bar) [+] | requires_longer_interpretation @ visualization (whole.visualization) [+]</t>
  </si>
  <si>
    <t>color_bar(mark.bar) --increases_effort(raw:increases_cognitive_load_of)--&gt; visualization(whole.visualization) [+]</t>
  </si>
  <si>
    <t>InfoVisC.65.8.png</t>
  </si>
  <si>
    <t>color dimension (one versus two)ï¼› numbers is more complex than dot; The least complex has clearer colours and is simple to grasp the ideas.</t>
  </si>
  <si>
    <t>shapes and lines; clearer coloring; color dimension; simple to interpret/read/understand</t>
  </si>
  <si>
    <t>color variety/shading; easy/hard to interpret; shapes and lines</t>
  </si>
  <si>
    <t>chart --&gt; whole.visualization [overall] | color_encoding --&gt; property.color [data_area] | numerical_labels --&gt; text.label [data_area] | dot_marks --&gt; mark.point [data_area]</t>
  </si>
  <si>
    <t>clearer_distinct_colors @ color_encoding (property.color) [-] | simple_to_grasp @ chart (whole.visualization) [-] | two_color_dimensions @ color_encoding (property.color) [+] | numbers_increase_complexity @ numerical_labels (text.label) [+]</t>
  </si>
  <si>
    <t>numerical_labels(text.label) --compared_with(raw:more_complex_than)--&gt; dot_marks(mark.point) [+] | color_encoding(property.color) --aids_interpretation(raw:aids_interpretation_of)--&gt; chart(whole.visualization) [-]</t>
  </si>
  <si>
    <t>InfoVisJ.609.8.png</t>
  </si>
  <si>
    <t>clearer what I can learn..</t>
  </si>
  <si>
    <t>easy to understand</t>
  </si>
  <si>
    <t>clear_interpretive_message @ visualization (whole.visualization) [-]</t>
  </si>
  <si>
    <t>economist_daily_chart_4.png</t>
  </si>
  <si>
    <t>there are more data and the variables go both ways, so it may need more detailed analysis.</t>
  </si>
  <si>
    <t>more effort/reading/detailed analysis</t>
  </si>
  <si>
    <t>take longer to interpret</t>
  </si>
  <si>
    <t>requires_detailed_analysis @ chart (whole.visualization) [+]</t>
  </si>
  <si>
    <t>whoB32_1.png</t>
  </si>
  <si>
    <t>it lacks contrast between the blue colours, a different colour would make the image less complex. there is more text on the image, which adds complexity.; I don't understand the graphics well</t>
  </si>
  <si>
    <t>distinguishable/full color uses; lack of color contrast / hard to distinguish colors; not interpretable/readable/understandable</t>
  </si>
  <si>
    <t>color contrast/clarity; distinguishable/full/highly contrast color uses; easy/hard to interpret</t>
  </si>
  <si>
    <t>chart --&gt; whole.visualization [overall] | color_scheme --&gt; property.color [data_area] | blue_colors --&gt; property.color [data_area]</t>
  </si>
  <si>
    <t>poor_color_choice @ color_scheme (property.color) [+] | insufficient_contrast @ blue_colors (property.color) [+] | difficult_to_understand @ chart (whole.visualization) [+]</t>
  </si>
  <si>
    <t>blue_colors(property.color) --lacks_contrast_within--&gt; color_scheme(property.color) [+] | color_scheme(property.color) --increases_cognitive_difficulty_of--&gt; chart(whole.visualization) [+]</t>
  </si>
  <si>
    <t>visMost533.png</t>
  </si>
  <si>
    <t>many elements, colors, size, names; very complex to process; Image 1 requires more understanding; it seems to contain data but lacks context, so I'm curious what it represents.</t>
  </si>
  <si>
    <t>more charts/points/lines/shapes/elements; size; lack of/not enough axis labels/legend/annotations/context; more title/axis/label; unclear colormaps; complicated to process; more reading/interpretation/understanding</t>
  </si>
  <si>
    <t>color contrast/clarity; easy/hard to interpret; labels/axes/legends; more charts/points/lines/shapes/elements; shapes and lines; take longer to interpret</t>
  </si>
  <si>
    <t>chart --&gt; whole.visualization [overall] | elements --&gt; mark.element [data_area] | labels --&gt; text.label [data_area] | colors --&gt; property.color [data_area] | context --&gt; content.domain [annotation]</t>
  </si>
  <si>
    <t>very_complex_to_process @ chart (whole.visualization) [+] | lacks_contextual_information @ chart (whole.visualization) [+] | requires_domain_understanding @ chart (whole.visualization) [+] | many_visual_elements @ elements (mark.element) [+] | varied_element_sizes @ elements (mark.element) [+] | numerous_names_present @ labels (text.label) [+] | high_color_variety @ colors (property.color) [+]</t>
  </si>
  <si>
    <t>elements(mark.element) --contributes_to_clutter_in--&gt; chart(whole.visualization) [+] | labels(text.label) --increases_effort(raw:increases_cognitive_load_of)--&gt; chart(whole.visualization) [+] | colors(property.color) --adds_visual_complexity_to--&gt; elements(mark.element) [+] | context(content.domain) --absent_from--&gt; chart(whole.visualization) [+]</t>
  </si>
  <si>
    <t>economist_daily_chart_5.png</t>
  </si>
  <si>
    <t>It has more data and need focus to understand</t>
  </si>
  <si>
    <t>much/more data/info/info spread; hard to interpret/read/understand</t>
  </si>
  <si>
    <t>high_data_volume @ data_elements (content.data) [+] | requires_focused_interpretation @ chart (whole.visualization) [+]</t>
  </si>
  <si>
    <t>data_elements(content.data) --increases_cognitive_demand_of--&gt; chart(whole.visualization) [+]</t>
  </si>
  <si>
    <t>economist_daily_chart_167.png</t>
  </si>
  <si>
    <t>easy to read and decipher.</t>
  </si>
  <si>
    <t>easy_to_read @ chart (whole.visualization) [-] | easy_to_decipher @ chart (whole.visualization) [-]</t>
  </si>
  <si>
    <t>InfoVisJ.631.1(2).png</t>
  </si>
  <si>
    <t>Densely packed information; Unclear of relations between words; Words are not all orientated the same; Unclear on colour values</t>
  </si>
  <si>
    <t>dense points/lines/shapes/elements; unclear relation between words; word misoriented; unclear colors/contrast</t>
  </si>
  <si>
    <t>more charts/points/lines/shapes/elements; unclear colors/contrast; unclear meaning/confusing; word rotation/small font size</t>
  </si>
  <si>
    <t>word_cloud --&gt; whole.visualization [data_area] | words --&gt; text.label [data_area] | color_encoding --&gt; property.color [data_area] | text_orientations --&gt; text.label [data_area]</t>
  </si>
  <si>
    <t>densely_packed_information @ word_cloud (whole.visualization) [+] | unclear_inter_word_relations @ words (text.label) [+] | mixed_text_orientations @ text_orientations (text.label) [+] | unclear_color_value_meaning @ color_encoding (property.color) [+]</t>
  </si>
  <si>
    <t>words(text.label) --packed_into--&gt; word_cloud(whole.visualization) [+] | color_encoding(property.color) --ambiguously_encodes--&gt; words(text.label) [+] | text_orientations(text.label) --increases_effort(raw:increases_cognitive_load_of)--&gt; words(text.label) [+]</t>
  </si>
  <si>
    <t>SciVisJ.995.5.png</t>
  </si>
  <si>
    <t>The image I chose shows what information the graph is presenting, and therefore provokes more thought and understanding. There are axes, numerical values.</t>
  </si>
  <si>
    <t>infomration representation; lack of/not enough axis labels/legend/annotations/context; title/axis/label/descriptions; provokes thought and understanding</t>
  </si>
  <si>
    <t>domain-specific concepts (e.g., chemical, biology, map); labels/axes/legends; take longer to interpret</t>
  </si>
  <si>
    <t>axes --&gt; furniture.axes [axes] | numerical_values --&gt; content.number [axes] | data_content --&gt; content.data [data_area]</t>
  </si>
  <si>
    <t>multiple_axes_present @ axes (furniture.axes) [+] | dense_numerical_labels @ numerical_values (content.number) [+] | rich_information_presented @ data_content (content.data) [+] | provokes_thought_and_understanding @ data_content (content.data) [+]</t>
  </si>
  <si>
    <t>axes(furniture.axes) --annotated_with--&gt; numerical_values(content.number) [+] | numerical_values(content.number) --increases_effort(raw:increases_cognitive_load_of)--&gt; data_content(content.data) [+]</t>
  </si>
  <si>
    <t>InfoVisJ.924.5.png</t>
  </si>
  <si>
    <t>1. Visuals that tell the story 2. Labels are clear 3. Key is easy to understand 4. Description easy to read</t>
  </si>
  <si>
    <t>clear title/axis/label; description easy to read; legend easy to understand</t>
  </si>
  <si>
    <t>description --&gt; text.description [annotation] | legend --&gt; furniture.legend [legend] | labels --&gt; text.label [axes]</t>
  </si>
  <si>
    <t>easy_to_read @ description (text.description) [+] | easy_to_understand @ legend (furniture.legend) [+] | clear_labeling @ labels (text.label) [+]</t>
  </si>
  <si>
    <t>legend(furniture.legend) --aids_interpretation(raw:aids_interpretation_of)--&gt; description(text.description) [-] | labels(text.label) --aids_interpretation(raw:supports_readability_of)--&gt; description(text.description) [-]</t>
  </si>
  <si>
    <t>v483_n7388_11_f2.png</t>
  </si>
  <si>
    <t>At first glance, there is more data (lots of bars). It's less visual and requires more interpretation. Text is written sideways</t>
  </si>
  <si>
    <t>more reading/interpretation/understanding</t>
  </si>
  <si>
    <t>requires_more_interpretation @ visualization (whole.visualization) [+]</t>
  </si>
  <si>
    <t>VASTJ.412.3.png</t>
  </si>
  <si>
    <t>Both of them are easy to understand.; only has two colors</t>
  </si>
  <si>
    <t>two colors; easy to interpret/read/understand</t>
  </si>
  <si>
    <t>easy/hard to interpret; two colors</t>
  </si>
  <si>
    <t>chart --&gt; whole.visualization [overall] | color_scheme --&gt; property.color [data_area]</t>
  </si>
  <si>
    <t>easy_to_understand @ chart (whole.visualization) [-] | only_two_colors_used @ color_scheme (property.color) [-]</t>
  </si>
  <si>
    <t>color_scheme(property.color) --reduces_clutter_in--&gt; chart(whole.visualization) [-]</t>
  </si>
  <si>
    <t>vis230.png</t>
  </si>
  <si>
    <t>I don't understand the graphics well</t>
  </si>
  <si>
    <t>difficult_to_interpret @ visualization (whole.visualization) [+]</t>
  </si>
  <si>
    <t>whoK23_2.png</t>
  </si>
  <si>
    <t>A lot of text; A lot of data; Hard to understand</t>
  </si>
  <si>
    <t>much/more data/info/info spread; amount of words/context/numbers; hard to interpret/read/understand</t>
  </si>
  <si>
    <t>amount of words/context/numbers; easy/hard to interpret; much/little data/info</t>
  </si>
  <si>
    <t>chart --&gt; whole.visualization [overall] | data_elements --&gt; content.data [data_area] | text_labels --&gt; text.label [axes]</t>
  </si>
  <si>
    <t>high_data_volume @ data_elements (content.data) [+] | abundant_text_present @ text_labels (text.label) [+] | difficult_to_interpret @ chart (whole.visualization) [+]</t>
  </si>
  <si>
    <t>data_elements(content.data) --contributes_to_clutter_in--&gt; chart(whole.visualization) [+] | text_labels(text.label) --increases_effort(raw:increases_cognitive_load_of)--&gt; chart(whole.visualization) [+]</t>
  </si>
  <si>
    <t>InfoVisJ.459.8.png</t>
  </si>
  <si>
    <t>even though I didn't understand the purpose, it looks clearer</t>
  </si>
  <si>
    <t>clear colors/shapes; unclear meaning/confusing</t>
  </si>
  <si>
    <t>visualization --&gt; whole.visualization [overall] | purpose_label --&gt; text.label [title]</t>
  </si>
  <si>
    <t>visually_clear_layout @ visualization (whole.visualization) [-] | unclear_semantic_purpose @ purpose_label (text.label) [+]</t>
  </si>
  <si>
    <t>visualization(whole.visualization) --perceived_as_clearer_despite--&gt; purpose_label(text.label) [-]</t>
  </si>
  <si>
    <t>VASTJ.1374.4.png</t>
  </si>
  <si>
    <t>I am used to work with the right type of graph</t>
  </si>
  <si>
    <t>familiar representation</t>
  </si>
  <si>
    <t>familiar_domain_knowledge @ visualization (whole.visualization) [-]</t>
  </si>
  <si>
    <t>wsj28.png</t>
  </si>
  <si>
    <t>Lots of writing; Prominent colors</t>
  </si>
  <si>
    <t>amount of words/context/numbers; salient colors</t>
  </si>
  <si>
    <t>amount of words/context/numbers; color variety/shading</t>
  </si>
  <si>
    <t>text_elements --&gt; text.label [overall] | color_scheme --&gt; property.color [overall]</t>
  </si>
  <si>
    <t>high_volume_of_writing @ text_elements (text.label) [+] | prominent_colors_present @ color_scheme (property.color) [+]</t>
  </si>
  <si>
    <t>text_elements(text.label) --combined_with--&gt; color_scheme(property.color) [+]</t>
  </si>
  <si>
    <t>SciVisJ.603.12.png</t>
  </si>
  <si>
    <t>many graphs side by side and 2 distinct sections in each graph that vary in length. These unknown details make this feel more complex</t>
  </si>
  <si>
    <t>multiple features/elements/graphs; length variation; looks random/messy/lack structure</t>
  </si>
  <si>
    <t>distracting/confusing/unclear; more charts/points/lines/shapes/elements; shapes and lines</t>
  </si>
  <si>
    <t>graphs --&gt; whole.visualization [data_area] | bars --&gt; mark.bar [data_area] | labels --&gt; text.label [axes]</t>
  </si>
  <si>
    <t>many_graphs_present @ graphs (whole.visualization) [+] | arranged_side_by_side @ graphs (whole.visualization) [+] | vary_in_length @ bars (mark.bar) [+] | unknown_details @ labels (text.label) [+]</t>
  </si>
  <si>
    <t>graphs(whole.visualization) --contains--&gt; bars(mark.bar) [+] | bars(mark.bar) --requires_interpretation_of--&gt; labels(text.label) [+]</t>
  </si>
  <si>
    <t>VASTJ.432.6.png</t>
  </si>
  <si>
    <t>both is understandable</t>
  </si>
  <si>
    <t>easily_understandable @ visualization (whole.visualization) [-]</t>
  </si>
  <si>
    <t>InfoVisJ.1084.2.png</t>
  </si>
  <si>
    <t>I thought it provided the information in question in a more unique way.</t>
  </si>
  <si>
    <t>unique</t>
  </si>
  <si>
    <t>unique_visual_form @ visualization (whole.visualization) [+]</t>
  </si>
  <si>
    <t>VASTC.72.13.png</t>
  </si>
  <si>
    <t>more informations; more colour</t>
  </si>
  <si>
    <t>much/more data/info/info spread; color variety/arrangement/distribution</t>
  </si>
  <si>
    <t>color variety/shading; much/little data/info</t>
  </si>
  <si>
    <t>multiple_colors_present @ color_encoding (property.color) [+] | high_information_volume @ data_content (content.data) [+]</t>
  </si>
  <si>
    <t>color_encoding(property.color) --increases_complexity(raw:increases_complexity_of)--&gt; chart(whole.visualization) [+] | data_content(content.data) --increases_effort(raw:increases_cognitive_load_of)--&gt; chart(whole.visualization) [+]</t>
  </si>
  <si>
    <t>economist_daily_chart_520.png</t>
  </si>
  <si>
    <t>the left image has at least 15-20 different data points</t>
  </si>
  <si>
    <t>more charts/points/lines/shapes/elements</t>
  </si>
  <si>
    <t>data_points --&gt; mark.point [data_area]</t>
  </si>
  <si>
    <t>many_data_points_present @ data_points (mark.point) [+]</t>
  </si>
  <si>
    <t>vis678.png</t>
  </si>
  <si>
    <t>The image I chose would be more difficult to me to describe to someone. The reason I chose it must be the all the designs, color differences, data and concept.; The image I picked has a lot of charts at once, while also being mixed with a timeline. It is also confusing that there are two different charts and some bits of text.; its dense clutter of elements, varied and vibrant color usage indicating different data categories, a high degree of interconnectedness showcasing complex relationships. It was essentially harder to read.; Very busy, a lot going on, lots of details and images. A lot of intricacy.</t>
  </si>
  <si>
    <t>dense/cluttered data/info; dense/cluttered layout; more charts/points/lines/shapes/elements; much/more data/info/info spread; design-data relationship; mixed timeline; title/axis/label/descriptions; color variety/arrangement/distribution; distracting/confusing/unclear; hard to describe; more difficult to interpret/read/understand/differentiate</t>
  </si>
  <si>
    <t>color variety/shading; design-data relationship; distracting/confusing/unclear; easy/hard to interpret; labels/axes/legends; more charts/points/lines/shapes/elements; much/little data/info; overlapping shapes/colors/lines</t>
  </si>
  <si>
    <t>charts --&gt; whole.visualization [data_area] | timeline --&gt; furniture.axes [axes] | text --&gt; text.label [annotation] | color_scheme --&gt; property.color [overall] | layout --&gt; structure.layout [overall]</t>
  </si>
  <si>
    <t>multiple_charts_present @ charts (whole.visualization) [+] | lots_of_details @ charts (whole.visualization) [+] | difficult_to_describe @ charts (whole.visualization) [+] | mixed_with_charts @ timeline (furniture.axes) [+] | some_text_present @ text (text.label) [+] | harder_to_read @ text (text.label) [+] | varied_vibrant_colors @ color_scheme (property.color) [+] | notable_color_differences @ color_scheme (property.color) [+] | dense_element_clutter @ layout (structure.layout) [+] | very_busy_layout @ layout (structure.layout) [+] | overall_confusing @ layout (structure.layout) [+] | complex_design_and_concept @ layout (structure.layout) [+]</t>
  </si>
  <si>
    <t>charts(whole.visualization) --co_occurs_with(raw:mixed_with)--&gt; timeline(furniture.axes) [+] | color_scheme(property.color) --increases_clutter_of--&gt; layout(structure.layout) [+] | charts(whole.visualization) --contributes_to_confusion_with--&gt; text(text.label) [+] | layout(structure.layout) --makes_harder_to_read--&gt; text(text.label) [+]</t>
  </si>
  <si>
    <t>VASTC.51.6.png</t>
  </si>
  <si>
    <t>Few information; it has no meaning; colors have no meaning; numbers have no meaning</t>
  </si>
  <si>
    <t>numbers --&gt; content.number [data_area] | colors --&gt; property.color [data_area]</t>
  </si>
  <si>
    <t>no_semantic_meaning @ numbers (content.number) [+] | no_semantic_meaning @ colors (property.color) [+]</t>
  </si>
  <si>
    <t>numbers(content.number) --increases_cognitive_load_alongside--&gt; colors(property.color) [+]</t>
  </si>
  <si>
    <t>VASTJ.1332.5.png</t>
  </si>
  <si>
    <t>two axes; fewer data points</t>
  </si>
  <si>
    <t>little data/info; title/axis/label/descriptions</t>
  </si>
  <si>
    <t>labels/axes/legends; much/little data/info</t>
  </si>
  <si>
    <t>data_points --&gt; mark.point [data_area] | axes --&gt; furniture.axes [axes]</t>
  </si>
  <si>
    <t>fewer_data_points @ data_points (mark.point) [-] | two_axes_only @ axes (furniture.axes) [-]</t>
  </si>
  <si>
    <t>data_points(mark.point) --plotted_along--&gt; axes(furniture.axes) [-]</t>
  </si>
  <si>
    <t>wsj360.png</t>
  </si>
  <si>
    <t>More letters more charts</t>
  </si>
  <si>
    <t>more texts/words</t>
  </si>
  <si>
    <t>amount of words/context/numbers</t>
  </si>
  <si>
    <t>text_labels --&gt; text.label [overall]</t>
  </si>
  <si>
    <t>high_letter_count @ text_labels (text.label) [+]</t>
  </si>
  <si>
    <t>whoB03_1.png</t>
  </si>
  <si>
    <t>the other figure which is easily interpretable</t>
  </si>
  <si>
    <t>easily_interpretable @ visualization (whole.visualization) [-]</t>
  </si>
  <si>
    <t>wsj536.png</t>
  </si>
  <si>
    <t>More elements - the graph, the picture, the shading, use of colour.</t>
  </si>
  <si>
    <t>more charts/points/lines/shapes/elements; color shading; soft/layered/overlapping colors</t>
  </si>
  <si>
    <t>color variety/shading; more charts/points/lines/shapes/elements; soft/layered/overlapping colors</t>
  </si>
  <si>
    <t>chart --&gt; whole.visualization [overall] | shading --&gt; property.color [data_area] | color --&gt; property.color [data_area]</t>
  </si>
  <si>
    <t>multiple_visual_elements @ chart (whole.visualization) [+] | shading_increases_complexity @ shading (property.color) [+] | varied_color_usage @ color (property.color) [+]</t>
  </si>
  <si>
    <t>shading(property.color) --contributes_to_clutter_in--&gt; chart(whole.visualization) [+] | color(property.color) --adds_encoding_complexity_to--&gt; chart(whole.visualization) [+]</t>
  </si>
  <si>
    <t>whoQ14_2.png</t>
  </si>
  <si>
    <t>More elements. More different labels. More items being compared. The bars being individual lines.</t>
  </si>
  <si>
    <t>more charts/points/lines/shapes/elements; bars as individual lines; more labels/context</t>
  </si>
  <si>
    <t>more charts/points/lines/shapes/elements; more labels/context; shapes and lines</t>
  </si>
  <si>
    <t>chart --&gt; whole.visualization [overall] | bars --&gt; mark.bar [data_area] | labels --&gt; text.label [axes] | data_elements --&gt; content.data [data_area]</t>
  </si>
  <si>
    <t>rendered_as_individual_lines @ bars (mark.bar) [+] | many_different_labels @ labels (text.label) [+] | high_item_count @ data_elements (content.data) [+] | many_elements_present @ chart (whole.visualization) [+]</t>
  </si>
  <si>
    <t>bars(mark.bar) --contributes_to_clutter_in--&gt; chart(whole.visualization) [+] | labels(text.label) --increases_effort(raw:increases_cognitive_load_of)--&gt; chart(whole.visualization) [+] | data_elements(content.data) --increases_complexity(raw:increases_density_of)--&gt; chart(whole.visualization) [+]</t>
  </si>
  <si>
    <t>v487_n7408_15_f3.png</t>
  </si>
  <si>
    <t>black and white horizontal lines.</t>
  </si>
  <si>
    <t>shapes and lines; black-to-white/color gradient</t>
  </si>
  <si>
    <t>color variety/shading; shapes and lines</t>
  </si>
  <si>
    <t>horizontal_lines --&gt; mark.line [data_area] | color_scheme --&gt; property.color [overall]</t>
  </si>
  <si>
    <t>multiple_horizontal_lines @ horizontal_lines (mark.line) [+] | black_and_white_only @ color_scheme (property.color) [-]</t>
  </si>
  <si>
    <t>horizontal_lines(mark.line) --increases_clutter_in--&gt; color_scheme(property.color) [+]</t>
  </si>
  <si>
    <t>VASTJ.101.1.png</t>
  </si>
  <si>
    <t>More colours and more complex shapes</t>
  </si>
  <si>
    <t>curves and shapes; color variety/arrangement/distribution</t>
  </si>
  <si>
    <t>chart_shapes --&gt; whole.visualization [data_area] | color_scheme --&gt; property.color [overall]</t>
  </si>
  <si>
    <t>complex_geometric_shapes @ chart_shapes (whole.visualization) [+] | multiple_colors_used @ color_scheme (property.color) [+]</t>
  </si>
  <si>
    <t>color_scheme(property.color) --increases_clutter_of--&gt; chart_shapes(whole.visualization) [+]</t>
  </si>
  <si>
    <t>visMost54.png</t>
  </si>
  <si>
    <t>there have a lot of lines and words and it iskinda about universe</t>
  </si>
  <si>
    <t>more charts/points/lines/shapes/elements; amount of words/context/numbers</t>
  </si>
  <si>
    <t>amount of words/context/numbers; more charts/points/lines/shapes/elements</t>
  </si>
  <si>
    <t>lines --&gt; mark.line [data_area] | text_labels --&gt; text.label [axes]</t>
  </si>
  <si>
    <t>high_line_quantity @ lines (mark.line) [+] | many_words_present @ text_labels (text.label) [+]</t>
  </si>
  <si>
    <t>lines(mark.line) --increases_clutter_alongside--&gt; text_labels(text.label) [+]</t>
  </si>
  <si>
    <t>v490_n7418_1_f2.png</t>
  </si>
  <si>
    <t>more  confusing colours; a lot of little boxes.; the other one is just a straight line with colourful boxes</t>
  </si>
  <si>
    <t>more charts/points/lines/shapes/elements; shapes; straight lines; ambiguous/confusing colors; unclear colormaps</t>
  </si>
  <si>
    <t>color contrast/clarity; more charts/points/lines/shapes/elements; shapes and lines</t>
  </si>
  <si>
    <t>boxes --&gt; mark.shape [data_area] | straight_line --&gt; mark.line [data_area] | colors --&gt; property.color [overall]</t>
  </si>
  <si>
    <t>numerous_small_boxes @ boxes (mark.shape) [+] | many_box_elements @ boxes (mark.shape) [+] | simple_straight_line @ straight_line (mark.line) [-] | confusing_color_variety @ colors (property.color) [+] | colorful_appearance @ colors (property.color) [-]</t>
  </si>
  <si>
    <t>boxes(mark.shape) --increases_clutter_via--&gt; colors(property.color) [+] | straight_line(mark.line) --reduces_complexity_relative_to--&gt; boxes(mark.shape) [-]</t>
  </si>
  <si>
    <t>wsj299.png</t>
  </si>
  <si>
    <t>more colors; more to read/analyze/understand</t>
  </si>
  <si>
    <t>graphics --&gt; whole.visualization [data_area] | statistics --&gt; content.data [data_area] | color_scheme --&gt; property.color [overall]</t>
  </si>
  <si>
    <t>high_detail_level @ graphics (whole.visualization) [+] | multiple_statistics_present @ statistics (content.data) [+] | multiple_colors_used @ color_scheme (property.color) [+]</t>
  </si>
  <si>
    <t>graphics(whole.visualization) --increases_effort(raw:increases_cognitive_load)--&gt; statistics(content.data) [+] | color_scheme(property.color) --adds_visual_complexity_to--&gt; graphics(whole.visualization) [+]</t>
  </si>
  <si>
    <t>whoB17_1.png</t>
  </si>
  <si>
    <t>visualization --&gt; whole.visualization [overall] | title_or_label --&gt; text.label [title]</t>
  </si>
  <si>
    <t>provides_contextual_information @ title_or_label (text.label) [-]</t>
  </si>
  <si>
    <t>title_or_label(text.label) --clarifies_content_of--&gt; visualization(whole.visualization) [-]</t>
  </si>
  <si>
    <t>VASTC.107.8.png</t>
  </si>
  <si>
    <t>i found it hard to distinguish the colours in this picture. My eyes felt blurry when concentrating on the image.</t>
  </si>
  <si>
    <t>lack of color contrast / hard to distinguish colors; distracting/confusing/unclear</t>
  </si>
  <si>
    <t>color contrast/clarity; distracting/confusing/unclear</t>
  </si>
  <si>
    <t>color_encoding --&gt; property.color [data_area] | visual_display --&gt; whole.visualization [overall]</t>
  </si>
  <si>
    <t>colors_hard_to_distinguish @ color_encoding (property.color) [+] | causes_visual_blur @ visual_display (whole.visualization) [+] | high_cognitive_strain @ visual_display (whole.visualization) [+]</t>
  </si>
  <si>
    <t>color_encoding(property.color) --contributes_to--&gt; visual_display(whole.visualization) [+]</t>
  </si>
  <si>
    <t>SciVisJ.1043.12(4).png</t>
  </si>
  <si>
    <t>1. There*s no obvious pattern that jumps out at you, so it*s not as straightforward to interpret. 2. It's hard to discern individual items. 3. It's tough to see where one point ends and another begins. 4. The single-color scheme doesn't help separate different parts of the data.</t>
  </si>
  <si>
    <t>more charts/points/lines/shapes/elements; overlapping shapes/colors/lines; color scale/scheme</t>
  </si>
  <si>
    <t>color variety/shading; more charts/points/lines/shapes/elements; overlapping shapes/colors/lines</t>
  </si>
  <si>
    <t>data_points --&gt; mark.point [data_area] | color_scheme --&gt; property.color [data_area] | point_boundaries --&gt; mark.point [data_area]</t>
  </si>
  <si>
    <t>hard_to_discern_individually @ data_points (mark.point) [+] | single_color_used @ color_scheme (property.color) [+] | boundaries_visually_unclear @ point_boundaries (mark.point) [+]</t>
  </si>
  <si>
    <t>color_scheme(property.color) --hinders_reading(raw:reduces_distinguishability_of)--&gt; data_points(mark.point) [+] | data_points(mark.point) --overlaps_obscuring--&gt; point_boundaries(mark.point) [+] | color_scheme(property.color) --increases_effort(raw:increases_cognitive_load_for)--&gt; data_points(mark.point) [+]</t>
  </si>
  <si>
    <t>v484_n7392_13_f1(1).png</t>
  </si>
  <si>
    <t>I think in the other option its pretty obvious that it is just a heatmap showing the results on an y axis</t>
  </si>
  <si>
    <t>title/axis/label/descriptions; a specific technique</t>
  </si>
  <si>
    <t>heatmap --&gt; whole.visualization [data_area] | y_axis --&gt; furniture.axes [axes]</t>
  </si>
  <si>
    <t>familiar_chart_type @ heatmap (whole.visualization) [-] | provides_clear_labels @ y_axis (furniture.axes) [-]</t>
  </si>
  <si>
    <t>y_axis(furniture.axes) --aids_interpretation(raw:aids_interpretation_of)--&gt; heatmap(whole.visualization) [-]</t>
  </si>
  <si>
    <t>SciVisJ.2305.5.png</t>
  </si>
  <si>
    <t>I did not know what data was trying to convey,</t>
  </si>
  <si>
    <t>unclear what data conveys</t>
  </si>
  <si>
    <t>unclear_data_message @ visualization (whole.visualization) [+]</t>
  </si>
  <si>
    <t>VisC.233.1.png</t>
  </si>
  <si>
    <t>-hard to extract info from it -no easy distinction between different colours (black, white, gray?); 1. Image size 2.Small details in the image. 3. Complexity. 4. Creating an image by grouping many shapes.</t>
  </si>
  <si>
    <t>fine/layered details; more charts/points/lines/shapes/elements; image size; hard to distinguish colors; hard to identify/extract/find features</t>
  </si>
  <si>
    <t>easy/hard to interpret; more charts/points/lines/shapes/elements; much/little data/info; shapes and lines</t>
  </si>
  <si>
    <t>chart --&gt; whole.visualization [overall] | shapes --&gt; mark.shape [data_area] | colors --&gt; property.color [data_area] | details --&gt; content.detail [data_area]</t>
  </si>
  <si>
    <t>many_shapes_present @ shapes (mark.shape) [+] | small_detail_elements @ details (content.detail) [+] | large_image_size @ chart (whole.visualization) [+] | no_easy_color_distinction @ colors (property.color) [+] | hard_to_extract_info @ chart (whole.visualization) [+]</t>
  </si>
  <si>
    <t>colors(property.color) --hinders_reading(raw:hinders_interpretation_of)--&gt; shapes(mark.shape) [+] | shapes(mark.shape) --contributes_to_clutter_in--&gt; chart(whole.visualization) [+] | details(content.detail) --increases_effort(raw:increases_cognitive_load_of)--&gt; chart(whole.visualization) [+]</t>
  </si>
  <si>
    <t>VisJ.1413.7.png</t>
  </si>
  <si>
    <t>it's a variation of various different colours and graphics that all seem to different to each other with no clear indication about what is going on.</t>
  </si>
  <si>
    <t>no clear indication; color variety/arrangement/distribution</t>
  </si>
  <si>
    <t>chart --&gt; whole.visualization [overall] | color_scheme --&gt; property.color [data_area] | graphics --&gt; whole.visualization [data_area] | labels_or_legend --&gt; furniture.legend [legend]</t>
  </si>
  <si>
    <t>various_colors_present @ color_scheme (property.color) [+] | multiple_graphic_elements @ graphics (whole.visualization) [+] | no_clear_indication_of_content @ chart (whole.visualization) [+] | unclear_semantic_meaning @ labels_or_legend (furniture.legend) [+]</t>
  </si>
  <si>
    <t>color_scheme(property.color) --contributes_to_confusion_in--&gt; chart(whole.visualization) [+] | graphics(whole.visualization) --obscures_meaning_in--&gt; chart(whole.visualization) [+]</t>
  </si>
  <si>
    <t>SciVisJ.1246.8.png</t>
  </si>
  <si>
    <t>The one on the left I don't even know what is being represented on it, but there are a lot of colors and shapes</t>
  </si>
  <si>
    <t>more charts/points/lines/shapes/elements; shapes and lines; color variety/arrangement/distribution; unclear meaning/confusing</t>
  </si>
  <si>
    <t>color variety/shading; more charts/points/lines/shapes/elements; shapes and lines; unclear meaning/confusing</t>
  </si>
  <si>
    <t>shapes --&gt; mark.shape [data_area] | colors --&gt; property.color [data_area] | visualization --&gt; whole.visualization [overall]</t>
  </si>
  <si>
    <t>high_shape_quantity @ shapes (mark.shape) [+] | many_colors_present @ colors (property.color) [+] | unclear_representation @ visualization (whole.visualization) [+]</t>
  </si>
  <si>
    <t>shapes(mark.shape) --contributes_to_clutter_with--&gt; colors(property.color) [+] | visualization(whole.visualization) --lacks_interpretive_clarity_due_to--&gt; shapes(mark.shape) [+]</t>
  </si>
  <si>
    <t>SciVisJ.259.14.png</t>
  </si>
  <si>
    <t>In this instance the image on the right felt like a weather map, which is easily recognisable to me, even though this particular map is less recognisable it "felt" familiar and therefore I made the selection as I did.; even tough i dont know what is supposed to show me because the x-axis is not labeled it seems to be more detailed.</t>
  </si>
  <si>
    <t>x-axis unlabeled; domain-specific concepts (e.g., chemical, biology, map); familiar representation</t>
  </si>
  <si>
    <t>x_axis --&gt; furniture.axes [axes] | weather_map --&gt; whole.visualization [overall] | chart --&gt; whole.visualization [overall]</t>
  </si>
  <si>
    <t>missing_axis_label @ x_axis (furniture.axes) [+] | familiar_map_format @ weather_map (whole.visualization) [-] | easily_recognizable_form @ chart (whole.visualization) [-]</t>
  </si>
  <si>
    <t>chart(whole.visualization) --compared_with(raw:resembles)--&gt; weather_map(whole.visualization) [-] | x_axis(furniture.axes) --lacks_label_on--&gt; chart(whole.visualization) [+]</t>
  </si>
  <si>
    <t>SciVisJ.1819.4(5).png</t>
  </si>
  <si>
    <t>The graphic at the bottom left corner. The difference between light and dark; The colours are harder to look at for me</t>
  </si>
  <si>
    <t>low color contrast/separation/segmentation; unclear colors/contrast</t>
  </si>
  <si>
    <t>color contrast/clarity; unclear colors/contrast</t>
  </si>
  <si>
    <t>light_and_dark_contrast @ color_scheme (property.color) [+] | colors_harder_to_look_at @ color_scheme (property.color) [+]</t>
  </si>
  <si>
    <t>color_scheme(property.color) --increases_cognitive_difficulty_of--&gt; visualization(whole.visualization) [+]</t>
  </si>
  <si>
    <t>SciVisJ.796.18.png</t>
  </si>
  <si>
    <t>1. Unlabeled legend/data. 2. Legend too close to visualizations</t>
  </si>
  <si>
    <t>lack of/not enough axis labels/legend/annotations/context; too much legend</t>
  </si>
  <si>
    <t>legend --&gt; furniture.legend [legend] | visualization --&gt; whole.visualization [data_area]</t>
  </si>
  <si>
    <t>unlabeled_legend_entries @ legend (furniture.legend) [+] | positioned_close_to_data @ legend (furniture.legend) [-]</t>
  </si>
  <si>
    <t>legend(furniture.legend) --too_close_to--&gt; visualization(whole.visualization) [-] | legend(furniture.legend) --lacks_labels_for--&gt; visualization(whole.visualization) [+]</t>
  </si>
  <si>
    <t>InfoVisJ.651.7.png</t>
  </si>
  <si>
    <t>Displays a wider variety of colors and gradients; lacks a clear form or structure, making it abstract and open to interpretation; has no discernible patterns or repetition; gives an illusion of depth or three-dimensionality due to blurring and color overlay.</t>
  </si>
  <si>
    <t>2D/3D; unclear structure; unfamiliar concepts/patterns; blurry colors/images; color variety/arrangement/distribution</t>
  </si>
  <si>
    <t>2D/3D; blurry colors/images; color variety/shading; domain-specific concepts (e.g., chemical, biology, map); unclear meaning/confusing</t>
  </si>
  <si>
    <t>visualization --&gt; whole.visualization [overall] | color_overlay --&gt; property.color [data_area] | gradient --&gt; property.color [data_area] | structure --&gt; structure.layout [overall]</t>
  </si>
  <si>
    <t>illusion_of_depth_3d @ visualization (whole.visualization) [+] | no_discernible_patterns @ visualization (whole.visualization) [+] | lacks_clear_form_structure @ structure (structure.layout) [+] | blurring_applied @ color_overlay (property.color) [+] | wide_variety_of_colors @ gradient (property.color) [+]</t>
  </si>
  <si>
    <t>color_overlay(property.color) --overlaid_with--&gt; gradient(property.color) [+] | visualization(whole.visualization) --increases_complexity(raw:increases)--&gt; structure(structure.layout) [+] | color_overlay(property.color) --contributes_to--&gt; visualization(whole.visualization) [+]</t>
  </si>
  <si>
    <t>VisC.623.5.png</t>
  </si>
  <si>
    <t>I don't even register what the left one is supposed to be, so it seems more complex. More colors make it more complex.</t>
  </si>
  <si>
    <t>unfamiliar concepts/patterns; color variety/arrangement/distribution</t>
  </si>
  <si>
    <t>color variety/shading; domain-specific concepts (e.g., chemical, biology, map)</t>
  </si>
  <si>
    <t>unclear_visual_purpose @ visualization (whole.visualization) [+] | ambiguous_encoding @ visualization (whole.visualization) [+] | multiple_colors_present @ color_scheme (property.color) [+]</t>
  </si>
  <si>
    <t>color_scheme(property.color) --increases_confusion_in--&gt; visualization(whole.visualization) [+]</t>
  </si>
  <si>
    <t>SciVisJ.625.5.png</t>
  </si>
  <si>
    <t>I imagine that every pixel and colour represents a collection of data, and the first image is offering more such information so I saw it as more complex.; I had to choose this because I saw it here without analysis.</t>
  </si>
  <si>
    <t>unclear colormaps; easy to interpret/read/understand</t>
  </si>
  <si>
    <t>color contrast/clarity; easy/hard to interpret</t>
  </si>
  <si>
    <t>visualization --&gt; whole.visualization [overall] | pixel --&gt; mark.element [data_area] | color --&gt; property.color [data_area]</t>
  </si>
  <si>
    <t>requires_analysis_to_interpret @ visualization (whole.visualization) [+] | encodes_data_collection @ pixel (mark.element) [+] | encodes_data_collection @ color (property.color) [+]</t>
  </si>
  <si>
    <t>pixel(mark.element) --represents--&gt; color(property.color) [+] | color(property.color) --encodes_dense_information_in--&gt; visualization(whole.visualization) [+]</t>
  </si>
  <si>
    <t>InfoVisJ.2181.9.png</t>
  </si>
  <si>
    <t>The picture on the left includes four separate visual items to look at and discern. There are extra arrows and information included below the squares that also allude to meaning that needs to be understood.</t>
  </si>
  <si>
    <t>dense points/lines/shapes/elements; multiple features/elements/graphs; not easily understood</t>
  </si>
  <si>
    <t>arrows --&gt; mark.symbol [data_area] | information_elements --&gt; content.data [annotation] | visual_items --&gt; mark.element [overall]</t>
  </si>
  <si>
    <t>extra_arrows_present @ arrows (mark.symbol) [+] | additional_information_added @ information_elements (content.data) [+] | four_separate_components @ visual_items (mark.element) [+] | requires_interpretation_effort @ visual_items (mark.element) [+]</t>
  </si>
  <si>
    <t>arrows(mark.symbol) --increases_clutter_in--&gt; visual_items(mark.element) [+] | information_elements(content.data) --adds_cognitive_load_to--&gt; visual_items(mark.element) [+] | visual_items(mark.element) --requires_understanding_of--&gt; information_elements(content.data) [+]</t>
  </si>
  <si>
    <t>VASTC.19.8.png</t>
  </si>
  <si>
    <t>Two much color gradient; -The quality: the image is pretty blurry -The colours: dull and blended together -I have no idea what it represents, lacks clarity It felt like I had to squint my eyes to understand what I was looking at</t>
  </si>
  <si>
    <t>no context or reference; black-to-white/color gradient; blended colors; blurry colors/images; distracting/confusing/unclear; attention/squinting to understand</t>
  </si>
  <si>
    <t>blurry colors/images; color variety/shading; distracting/confusing/unclear; domain-specific concepts (e.g., chemical, biology, map); take longer to interpret</t>
  </si>
  <si>
    <t>visualization --&gt; whole.visualization [overall] | color_gradient --&gt; property.color [data_area] | text_labels --&gt; text.label [axes]</t>
  </si>
  <si>
    <t>gradient_color_encoding @ color_gradient (property.color) [+] | dull_and_blended_colors @ color_gradient (property.color) [+] | image_is_blurry @ visualization (whole.visualization) [+] | lacks_visual_clarity @ visualization (whole.visualization) [+] | requires_squinting_to_understand @ visualization (whole.visualization) [+] | unclear_representation @ visualization (whole.visualization) [+]</t>
  </si>
  <si>
    <t>color_gradient(property.color) --contributes_to--&gt; visualization(whole.visualization) [+] | color_gradient(property.color) --obscures_meaning_in--&gt; visualization(whole.visualization) [+] | text_labels(text.label) --fails_to_clarify--&gt; visualization(whole.visualization) [+]</t>
  </si>
  <si>
    <t>VisC.495.10(1).png</t>
  </si>
  <si>
    <t>It's separating the value by colors</t>
  </si>
  <si>
    <t>separate values by color to show differences</t>
  </si>
  <si>
    <t>chart --&gt; whole.visualization [overall] | color_encoding --&gt; property.color [data_area] | data_values --&gt; content.data [data_area]</t>
  </si>
  <si>
    <t>multiple_colors_used @ color_encoding (property.color) [+] | values_separated_by_color @ data_values (content.data) [+]</t>
  </si>
  <si>
    <t>color_encoding(property.color) --differentiates--&gt; data_values(content.data) [+]</t>
  </si>
  <si>
    <t>SciVisJ.796.5(1).png</t>
  </si>
  <si>
    <t>No measurements; Not sure what the pattern is and what color stands for</t>
  </si>
  <si>
    <t>no measurement/metric/axis; unfamiliar concepts/patterns; unclear color meaning</t>
  </si>
  <si>
    <t>color contrast/clarity; domain-specific concepts (e.g., chemical, biology, map); labels/axes/legends</t>
  </si>
  <si>
    <t>visualization --&gt; whole.visualization [overall] | color_encoding --&gt; property.color [data_area] | pattern --&gt; structure.pattern [data_area] | measurements --&gt; content.number [axes]</t>
  </si>
  <si>
    <t>no_measurements_present @ measurements (content.number) [+] | color_meaning_unclear @ color_encoding (property.color) [+] | pattern_interpretation_uncertain @ pattern (structure.pattern) [+]</t>
  </si>
  <si>
    <t>color_encoding(property.color) --lacks_legend_for--&gt; visualization(whole.visualization) [+] | measurements(content.number) --absent_from--&gt; visualization(whole.visualization) [+] | pattern(structure.pattern) --increases_effort(raw:increases_cognitive_load_of)--&gt; visualization(whole.visualization) [+]</t>
  </si>
  <si>
    <t>VisC.433.1.png</t>
  </si>
  <si>
    <t>more regions/space; much/more data/info/info spread; color variety/arrangement/distribution; more pixels</t>
  </si>
  <si>
    <t>color variety/shading; more charts/points/lines/shapes/elements; more regions/space; much/little data/info</t>
  </si>
  <si>
    <t>high_information_density @ chart (whole.visualization) [+] | large_spatial_footprint @ chart (whole.visualization) [+] | multiple_colors_used @ color_encoding (property.color) [+] | high_pixel_density @ data_elements (content.data) [+]</t>
  </si>
  <si>
    <t>color_encoding(property.color) --increases_visual_load_of--&gt; chart(whole.visualization) [+] | data_elements(content.data) --contributes_clutter_to--&gt; chart(whole.visualization) [+]</t>
  </si>
  <si>
    <t>SciVisJ.821.4.png</t>
  </si>
  <si>
    <t>I d'ont have any idea of what it's supposed to mean.</t>
  </si>
  <si>
    <t>unclear_semantic_meaning @ visualization (whole.visualization) [+] | high_interpretive_difficulty @ visualization (whole.visualization) [+] | requires_specialized_knowledge @ visualization (whole.visualization) [+]</t>
  </si>
  <si>
    <t>VisC.599.6.png</t>
  </si>
  <si>
    <t>The graph is wavy; there is no way to tell the exact points for the numbers, making it more complex to understand. There is no data provided other than two letters and numbers, which to me feels more complex than looking at a map.</t>
  </si>
  <si>
    <t>curved lines; no clear indication; lack of/not enough axis labels/legend/annotations/context; more difficult to interpret/read/understand/differentiate</t>
  </si>
  <si>
    <t>easy/hard to interpret; labels/axes/legends; shapes and lines; unclear meaning/confusing</t>
  </si>
  <si>
    <t>line --&gt; mark.line [data_area] | axis_labels --&gt; text.axis_label [axes] | data_points --&gt; mark.point [data_area]</t>
  </si>
  <si>
    <t>wavy_irregular_shape @ line (mark.line) [+] | exact_values_unreadable @ data_points (mark.point) [+] | contains_letters_and_numbers @ axis_labels (text.axis_label) [+] | overall_more_complex_to_understand @ line (mark.line) [+]</t>
  </si>
  <si>
    <t>data_points(mark.point) --lacks_precise_readability_on--&gt; axis_labels(text.axis_label) [+] | axis_labels(text.axis_label) --combines_alphanumeric_encoding_with--&gt; data_points(mark.point) [+]</t>
  </si>
  <si>
    <t>SciVisJ.1043.12(5).png</t>
  </si>
  <si>
    <t>lack of legends or any kind of text makes the figure difficult to understand</t>
  </si>
  <si>
    <t>lack of/not enough axis labels/legend/annotations/context; hard to interpret/read/understand</t>
  </si>
  <si>
    <t>visualization --&gt; whole.visualization [overall] | legend --&gt; furniture.legend [legend] | text_labels --&gt; text.label [axes]</t>
  </si>
  <si>
    <t>legend_absent @ legend (furniture.legend) [+] | insufficient_text_present @ text_labels (text.label) [+] | difficult_to_interpret @ visualization (whole.visualization) [+]</t>
  </si>
  <si>
    <t>legend(furniture.legend) --missing_from--&gt; visualization(whole.visualization) [+] | text_labels(text.label) --lacks_context_in--&gt; visualization(whole.visualization) [+]</t>
  </si>
  <si>
    <t>SciVisJ.744.13.png</t>
  </si>
  <si>
    <t>Not understandable at all Different colours Maybe a lot of info that you should know understand just seeing the image Only for trained eyes; This image is complex because it contains lot of details, it is like 3D visualisation (4 dimension matrix), the equation to represent it must be complex. It is like the equation of the wave of water which is difficult to modelise in physic or video game.; less details and more lookable</t>
  </si>
  <si>
    <t>less detailed/things; more detailed/things; much/more data/info/info spread; 2D/3D; not enough knowledge to tell; color variety/arrangement/distribution; hard to measure/model; not interpretable/readable/understandable</t>
  </si>
  <si>
    <t>2D/3D; color variety/shading; easy/hard to interpret; much/little data/info; take longer to interpret</t>
  </si>
  <si>
    <t>3d_visualization --&gt; whole.visualization [overall] | dimension_matrix --&gt; structure.grid [data_area] | color_encoding --&gt; property.color [data_area] | details --&gt; content.detail [data_area]</t>
  </si>
  <si>
    <t>three_dimensional_structure @ 3d_visualization (whole.visualization) [+] | difficult_to_model @ 3d_visualization (whole.visualization) [+] | not_understandable_at_all @ 3d_visualization (whole.visualization) [+] | only_for_trained_eyes @ 3d_visualization (whole.visualization) [+] | four_dimension_matrix @ dimension_matrix (structure.grid) [+] | multiple_different_colors @ color_encoding (property.color) [+] | high_detail_volume @ details (content.detail) [+] | less_details_present @ details (content.detail) [-]</t>
  </si>
  <si>
    <t>dimension_matrix(structure.grid) --contains_high_volume_of--&gt; details(content.detail) [+] | color_encoding(property.color) --increases_complexity(raw:increases_complexity_of)--&gt; 3d_visualization(whole.visualization) [+] | dimension_matrix(structure.grid) --requires_expertise(raw:requires_domain_knowledge_to_interpret)--&gt; 3d_visualization(whole.visualization) [+] | 3d_visualization(whole.visualization) --imposes_high_cognitive_load_on--&gt; details(content.detail) [+]</t>
  </si>
  <si>
    <t>VisC.233.3(2).png</t>
  </si>
  <si>
    <t>There are many circles in the left image, with a non repeating pattern, meaning it all has a meaning, especially with how many times black changes into white</t>
  </si>
  <si>
    <t>more charts/points/lines/shapes/elements; black-to-white/color gradient</t>
  </si>
  <si>
    <t>color variety/shading; more charts/points/lines/shapes/elements</t>
  </si>
  <si>
    <t>circles --&gt; mark.point [data_area] | color_gradient --&gt; property.color [data_area]</t>
  </si>
  <si>
    <t>large_quantity_of_circles @ circles (mark.point) [+] | black_to_white_transition @ color_gradient (property.color) [+]</t>
  </si>
  <si>
    <t>color_gradient(property.color) --applied_across--&gt; circles(mark.point) [+]</t>
  </si>
  <si>
    <t>VisC.295.3.png</t>
  </si>
  <si>
    <t>very weird color, when im lookin for more than 5 seconds its so dificult to keep my eyes on</t>
  </si>
  <si>
    <t>unclear colors/contrast; hard to focus/follow</t>
  </si>
  <si>
    <t>easy/hard to interpret; unclear colors/contrast</t>
  </si>
  <si>
    <t>very_weird_color @ color_scheme (property.color) [+] | difficult_to_focus_on @ visualization (whole.visualization) [+]</t>
  </si>
  <si>
    <t>color_scheme(property.color) --causes_visual_discomfort_in--&gt; visualization(whole.visualization) [+]</t>
  </si>
  <si>
    <t>SciVisJ.2926.3.png</t>
  </si>
  <si>
    <t>the left image is just patterns the right image is more interesting</t>
  </si>
  <si>
    <t>familiar representation; easy to interpret/read/understand</t>
  </si>
  <si>
    <t>simple_repeating_patterns @ visualization (whole.visualization) [-]</t>
  </si>
  <si>
    <t>VisC.175.1(3).png</t>
  </si>
  <si>
    <t>There are more colors in the picture circled in orange</t>
  </si>
  <si>
    <t>color variety/arrangement/distribution</t>
  </si>
  <si>
    <t>color variety/shading</t>
  </si>
  <si>
    <t>multiple_colors_used @ color_scheme (property.color) [+]</t>
  </si>
  <si>
    <t>color_scheme(property.color) --increases_complexity(raw:increases_complexity_of)--&gt; chart(whole.visualization) [+]</t>
  </si>
  <si>
    <t>SciVisJ.857.8(3).png</t>
  </si>
  <si>
    <t>just a map with colours</t>
  </si>
  <si>
    <t>colors(property.color) --applied_to--&gt; map(whole.visualization) [+]</t>
  </si>
  <si>
    <t>SciVisJ.801.15.png</t>
  </si>
  <si>
    <t>The presented stimulus was less visible/discernible. The images are very detailed</t>
  </si>
  <si>
    <t>more detailed/things; stimulus less visible</t>
  </si>
  <si>
    <t>visualization --&gt; whole.visualization [overall] | stimulus --&gt; whole.visualization [data_area]</t>
  </si>
  <si>
    <t>high_detail_level @ visualization (whole.visualization) [+] | low_discernibility @ stimulus (whole.visualization) [+]</t>
  </si>
  <si>
    <t>stimulus(whole.visualization) --obscured_within--&gt; visualization(whole.visualization) [+]</t>
  </si>
  <si>
    <t>SciVisJ.1043.14.png</t>
  </si>
  <si>
    <t>More colours</t>
  </si>
  <si>
    <t>multiple_colors_present @ visualization (whole.visualization) [+]</t>
  </si>
  <si>
    <t>InfoVisJ.413.3.png</t>
  </si>
  <si>
    <t>amount of colors; both are complex</t>
  </si>
  <si>
    <t>amount of / too many colors</t>
  </si>
  <si>
    <t>chart --&gt; whole.visualization [overall] | color_palette --&gt; property.color [data_area]</t>
  </si>
  <si>
    <t>high_number_of_colors @ color_palette (property.color) [+]</t>
  </si>
  <si>
    <t>color_palette(property.color) --increases_complexity(raw:increases_complexity_of)--&gt; chart(whole.visualization) [+]</t>
  </si>
  <si>
    <t>SciVisJ.1819.4.png</t>
  </si>
  <si>
    <t>Left ist more like water or a wave. I couldn`t see a high education inthere.; complexity in shape/s; colour variation - number of colours, number of shades of same colour; field information represented; nothing is clear</t>
  </si>
  <si>
    <t>curves and shapes; field information; nothing clear; color variety/arrangement/distribution</t>
  </si>
  <si>
    <t>color variety/shading; domain-specific concepts (e.g., chemical, biology, map); easy/hard to interpret; shapes and lines</t>
  </si>
  <si>
    <t>shapes --&gt; mark.shape [data_area] | color_scheme --&gt; property.color [data_area] | field_information --&gt; content.domain [data_area] | visual_layout --&gt; structure.layout [overall]</t>
  </si>
  <si>
    <t>complex_shape_variety @ shapes (mark.shape) [+] | high_color_variation @ color_scheme (property.color) [+] | dense_field_information @ field_information (content.domain) [+] | nothing_clearly_interpretable @ visual_layout (structure.layout) [+]</t>
  </si>
  <si>
    <t>shapes(mark.shape) --contributes_to--&gt; visual_layout(structure.layout) [+] | color_scheme(property.color) --increases_ambiguity(raw:increases_ambiguity_of)--&gt; field_information(content.domain) [+] | field_information(content.domain) --overwhelms--&gt; visual_layout(structure.layout) [+]</t>
  </si>
  <si>
    <t>VASTJ.170.6.png</t>
  </si>
  <si>
    <t>its clear its something oval shaped stretched out differently</t>
  </si>
  <si>
    <t>less uniform shapes; shape variety; color variety/arrangement/distribution; less negative space</t>
  </si>
  <si>
    <t>color variety/shading; overlapping shapes/colors/lines; shapes and lines</t>
  </si>
  <si>
    <t>circular_shapes --&gt; mark.shape [data_area] | rectangular_shapes --&gt; mark.shape [data_area] | color_palette --&gt; property.color [overall] | background --&gt; structure.background [overall]</t>
  </si>
  <si>
    <t>transitioning_to_rectangular @ circular_shapes (mark.shape) [+] | less_uniform_shapes @ rectangular_shapes (mark.shape) [+] | increased_color_variety @ color_palette (property.color) [+] | reduced_white_space @ background (structure.background) [+]</t>
  </si>
  <si>
    <t>circular_shapes(mark.shape) --transitions_to--&gt; rectangular_shapes(mark.shape) [+] | rectangular_shapes(mark.shape) --increases_visual_disorder_over--&gt; circular_shapes(mark.shape) [+] | color_palette(property.color) --reduces_contrast_with--&gt; background(structure.background) [+]</t>
  </si>
  <si>
    <t>InfoVisJ.681.1.png</t>
  </si>
  <si>
    <t>the colors, upwards trend, the color scale at the top of the page and small box indicators; Colors, abstraction, many elements</t>
  </si>
  <si>
    <t>more charts/points/lines/shapes/elements; data trend; shape indicators; abstract shapes or colors; color scale/scheme; indicating symbols; unclear colormaps</t>
  </si>
  <si>
    <t>2D/3D; abstract shapes or colors; color contrast/clarity; color variety/shading; more charts/points/lines/shapes/elements; shapes and lines; symbols</t>
  </si>
  <si>
    <t>chart --&gt; whole.visualization [overall] | data_elements --&gt; content.data [data_area] | color_scale --&gt; property.color [legend] | box_indicators --&gt; structure.panel [data_area] | trend_line --&gt; mark.line [data_area]</t>
  </si>
  <si>
    <t>many_elements_present @ data_elements (content.data) [+] | high_abstraction_level @ chart (whole.visualization) [+] | color_scale_encoding @ color_scale (property.color) [+] | small_box_indicators @ box_indicators (structure.panel) [+] | upwards_trend_visible @ trend_line (mark.line) [+] | multiple_colors_used @ chart (whole.visualization) [+]</t>
  </si>
  <si>
    <t>color_scale(property.color) --encodes_via--&gt; data_elements(content.data) [+] | box_indicators(structure.panel) --contributes_to_clutter_in--&gt; chart(whole.visualization) [+] | trend_line(mark.line) --requires_interpretation_within--&gt; chart(whole.visualization) [+]</t>
  </si>
  <si>
    <t>SciVisJ.765.11.png</t>
  </si>
  <si>
    <t>amount of colours used; variety of shapes; axis data is measured on; the fact that the (more) complex image suggests there may be more data points or that it's depicting one frame out of a video; it's fairly complex compared to just text</t>
  </si>
  <si>
    <t>more charts/points/lines/shapes/elements; shape variety; title/axis/label/descriptions; amount of / too many colors</t>
  </si>
  <si>
    <t>color variety/shading; labels/axes/legends; more charts/points/lines/shapes/elements; shapes and lines</t>
  </si>
  <si>
    <t>data_points --&gt; mark.point [data_area] | shapes --&gt; mark.shape [data_area] | axes --&gt; furniture.axes [axes] | colors --&gt; property.color [data_area]</t>
  </si>
  <si>
    <t>high_data_point_count @ data_points (mark.point) [+] | variety_of_shapes @ shapes (mark.shape) [+] | axis_data_present @ axes (furniture.axes) [+] | multiple_colors_used @ colors (property.color) [+]</t>
  </si>
  <si>
    <t>data_points(mark.point) --encoded_with--&gt; shapes(mark.shape) [+] | data_points(mark.point) --differentiated_by--&gt; colors(property.color) [+] | axes(furniture.axes) --contextualizes--&gt; data_points(mark.point) [+]</t>
  </si>
  <si>
    <t>VisC.73.8.png</t>
  </si>
  <si>
    <t>A variety of colours, with the different lines difficult to ascertain.</t>
  </si>
  <si>
    <t>hard to compare/discern/distinguish</t>
  </si>
  <si>
    <t>difficult_to_ascertain @ visualization (whole.visualization) [+]</t>
  </si>
  <si>
    <t>InfoVisJ.1558.9(2).png</t>
  </si>
  <si>
    <t>Right one, as far as I can understand, lists variable data with spots of diferent shapes indicating how variable (or error prone) was the data. Irregularity of the spots adds extra challenge to read it.</t>
  </si>
  <si>
    <t>shape variety; irregular; more difficult to interpret/read/understand/differentiate</t>
  </si>
  <si>
    <t>distracting/confusing/unclear; easy/hard to interpret; shapes and lines</t>
  </si>
  <si>
    <t>spots --&gt; mark.point [data_area] | chart --&gt; whole.visualization [overall]</t>
  </si>
  <si>
    <t>multiple_different_shapes @ spots (mark.point) [+] | irregular_form @ spots (mark.point) [+] | extra_challenge_to_read @ chart (whole.visualization) [+]</t>
  </si>
  <si>
    <t>spots(mark.point) --increases_complexity(raw:increases_difficulty_of)--&gt; chart(whole.visualization) [+] | spots(mark.point) --contributes_clutter_to--&gt; chart(whole.visualization) [+]</t>
  </si>
  <si>
    <t>SciVisJ.975.7.png</t>
  </si>
  <si>
    <t>visualization --&gt; whole.visualization [overall] | content --&gt; content.data [data_area]</t>
  </si>
  <si>
    <t>meaningless_presentation @ visualization (whole.visualization) [+] | ambiguous_complexity_level @ visualization (whole.visualization) [+] | unknown_data_meaning @ content (content.data) [+]</t>
  </si>
  <si>
    <t>content(content.data) --contributes_to--&gt; visualization(whole.visualization) [+]</t>
  </si>
  <si>
    <t>VisJ.1197.3.png</t>
  </si>
  <si>
    <t>The orange choice has multiple shapes which take longer to assimulate</t>
  </si>
  <si>
    <t>multiple shapes; take longer to interpret</t>
  </si>
  <si>
    <t>more charts/points/lines/shapes/elements; take longer to interpret</t>
  </si>
  <si>
    <t>chart --&gt; whole.visualization [overall] | shapes --&gt; mark.shape [data_area]</t>
  </si>
  <si>
    <t>multiple_shape_types @ shapes (mark.shape) [+] | requires_longer_assimilation @ chart (whole.visualization) [+]</t>
  </si>
  <si>
    <t>shapes(mark.shape) --increases_effort(raw:increases_cognitive_load_of)--&gt; chart(whole.visualization) [+]</t>
  </si>
  <si>
    <t>VisJ.1329.4(2).png</t>
  </si>
  <si>
    <t>It looks more like a picture than data, and it's colored in a certain shape.</t>
  </si>
  <si>
    <t>a specific technique; colored shape</t>
  </si>
  <si>
    <t>domain-specific concepts (e.g., chemical, biology, map); shapes and lines</t>
  </si>
  <si>
    <t>visualization --&gt; whole.visualization [overall] | shape --&gt; mark.shape [data_area] | color_fill --&gt; property.color [data_area]</t>
  </si>
  <si>
    <t>resembles_picture_not_chart @ visualization (whole.visualization) [+] | distinct_defined_shape @ shape (mark.shape) [+] | colored_within_shape @ color_fill (property.color) [+]</t>
  </si>
  <si>
    <t>color_fill(property.color) --fills--&gt; shape(mark.shape) [+] | shape(mark.shape) --makes_appear_as--&gt; visualization(whole.visualization) [+]</t>
  </si>
  <si>
    <t>InfoVisJ.2576.2.png</t>
  </si>
  <si>
    <t>I think the one on the left was less complex because: - the symbols are more easily recognizable - it had more labels that are clearer to me, - sectioned off areas that were clearly delineated</t>
  </si>
  <si>
    <t>clear delineation; more title/axis/label; familiar representation</t>
  </si>
  <si>
    <t>distracting/confusing/unclear; domain-specific concepts (e.g., chemical, biology, map); labels/axes/legends</t>
  </si>
  <si>
    <t>labels --&gt; text.label [data_area] | symbols --&gt; mark.symbol [legend] | chart --&gt; whole.visualization [overall]</t>
  </si>
  <si>
    <t>more_labels_present @ labels (text.label) [-] | easily_recognizable_symbols @ symbols (mark.symbol) [-] | clearly_delineated_regions @ chart (whole.visualization) [-]</t>
  </si>
  <si>
    <t>labels(text.label) --aids_interpretation(raw:aids_interpretation_of)--&gt; chart(whole.visualization) [-] | symbols(mark.symbol) --reduces_ambiguity_in--&gt; chart(whole.visualization) [-]</t>
  </si>
  <si>
    <t>VisC.249.5.png</t>
  </si>
  <si>
    <t>The image on the left appears to have more undefinable criteria. it's a little confusing exactly what the picture is supposed to represent. the cross at the bottom, which I assume is showing where data intersects, still does not explain exactly. what relevant it has.</t>
  </si>
  <si>
    <t>data intersection; shapes; unclear meaning; unclear meaning/confusing</t>
  </si>
  <si>
    <t>2D/3D; shapes and lines; unclear meaning/confusing</t>
  </si>
  <si>
    <t>cross_shape --&gt; mark.symbol [data_area] | intersection_point --&gt; mark.point [data_area] | criteria_labels --&gt; text.label [axes] | chart --&gt; whole.visualization [overall]</t>
  </si>
  <si>
    <t>cross_at_bottom @ cross_shape (mark.symbol) [+] | undefinable_criteria @ criteria_labels (text.label) [+] | ambiguous_data_intersection @ intersection_point (mark.point) [+] | overall_confusing_layout @ chart (whole.visualization) [+]</t>
  </si>
  <si>
    <t>cross_shape(mark.symbol) --increases_confusion_in--&gt; chart(whole.visualization) [+] | intersection_point(mark.point) --obscures(raw:obscures_meaning_of)--&gt; criteria_labels(text.label) [+] | criteria_labels(text.label) --contributes_to_ambiguity_of--&gt; chart(whole.visualization) [+]</t>
  </si>
  <si>
    <t>VisJ.1595.7.png</t>
  </si>
  <si>
    <t>I'm unable to sort these as I can't understand them, it feels like the colours along with the shape it categorised in a certain way that I can't identify</t>
  </si>
  <si>
    <t>categorized shapes; unable to sort; unclear colormaps; not interpretable/readable/understandable</t>
  </si>
  <si>
    <t>color contrast/clarity; distracting/confusing/unclear; easy/hard to interpret; shapes and lines</t>
  </si>
  <si>
    <t>shapes --&gt; mark.shape [data_area] | color_encoding --&gt; property.color [data_area] | categorization_scheme --&gt; content.category [overall] | legend --&gt; furniture.legend [legend]</t>
  </si>
  <si>
    <t>categorized_in_unclear_way @ shapes (mark.shape) [+] | unable_to_sort_elements @ shapes (mark.shape) [+] | multiple_colors_present @ color_encoding (property.color) [+] | cannot_identify_categories @ categorization_scheme (content.category) [+] | cannot_understand_encoding @ legend (furniture.legend) [+]</t>
  </si>
  <si>
    <t>shapes(mark.shape) --encoded_by--&gt; color_encoding(property.color) [+] | color_encoding(property.color) --fails_to_clarify--&gt; categorization_scheme(content.category) [+] | categorization_scheme(content.category) --lacks_interpretable_structure--&gt; shapes(mark.shape) [+]</t>
  </si>
  <si>
    <t>InfoVisJ.1558.11(6).png</t>
  </si>
  <si>
    <t>The elements in the first image are more evenly distributed but do not seem to present much interaction between them.; the other one only has dots</t>
  </si>
  <si>
    <t>more uniform design; no interaction; shapes and lines</t>
  </si>
  <si>
    <t>2D/3D; labels/axes/legends; shapes and lines</t>
  </si>
  <si>
    <t>dots --&gt; mark.point [data_area] | distribution --&gt; content.data [data_area] | interactions --&gt; structure.link [data_area]</t>
  </si>
  <si>
    <t>only_dots_present @ dots (mark.point) [-] | evenly_distributed_layout @ distribution (content.data) [-] | minimal_interactions @ interactions (structure.link) [-]</t>
  </si>
  <si>
    <t>dots(mark.point) --spread_across--&gt; distribution(content.data) [-] | dots(mark.point) --exhibits_few--&gt; interactions(structure.link) [-]</t>
  </si>
  <si>
    <t>SciVisJ.797.13.png</t>
  </si>
  <si>
    <t>I guess I'm just not familiarized with this type of chart.</t>
  </si>
  <si>
    <t>unfamiliar concepts/patterns</t>
  </si>
  <si>
    <t>unfamiliar_domain_knowledge_required @ visualization (whole.visualization) [+]</t>
  </si>
  <si>
    <t>VisJ.1949.11.png</t>
  </si>
  <si>
    <t>1) I'm not sure how to interpret the highlighted image because I don't know what I'm looking at 2) No clear pattern 3) No measurements 4) Not sure what the colors differentiate</t>
  </si>
  <si>
    <t>no measurement/metric/axis; color differentiation; distracting/confusing/unclear; unclear meaning/confusing</t>
  </si>
  <si>
    <t>color contrast/clarity; distracting/confusing/unclear; labels/axes/legends; unclear meaning/confusing</t>
  </si>
  <si>
    <t>chart --&gt; whole.visualization [overall] | color_encoding --&gt; property.color [data_area] | measurements --&gt; content.number [axes] | pattern --&gt; structure.pattern [data_area]</t>
  </si>
  <si>
    <t>no_measurements_present @ measurements (content.number) [+] | unclear_color_differentiation @ color_encoding (property.color) [+] | no_clear_pattern @ pattern (structure.pattern) [+] | unclear_what_displayed @ chart (whole.visualization) [+]</t>
  </si>
  <si>
    <t>color_encoding(property.color) --increases_ambiguity(raw:increases_ambiguity_of)--&gt; chart(whole.visualization) [+] | measurements(content.number) --absence_raises_cognitive_load_of--&gt; chart(whole.visualization) [+] | pattern(structure.pattern) --contributes_to_disorder_of--&gt; chart(whole.visualization) [+]</t>
  </si>
  <si>
    <t>SciVisJ.891.13.png</t>
  </si>
  <si>
    <t>Image 2 looks like a computer home screen and, while there is a lot going on there.</t>
  </si>
  <si>
    <t>more detailed/things; familiar representation</t>
  </si>
  <si>
    <t>domain-specific concepts (e.g., chemical, biology, map); much/little data/info</t>
  </si>
  <si>
    <t>visualization --&gt; whole.visualization [overall] | computer_screen --&gt; structure.panel [overall]</t>
  </si>
  <si>
    <t>high_visual_busyness @ visualization (whole.visualization) [+] | familiar_display_context @ computer_screen (structure.panel) [-]</t>
  </si>
  <si>
    <t>visualization(whole.visualization) --contains_many_elements--&gt; computer_screen(structure.panel) [+]</t>
  </si>
  <si>
    <t>VisJ.1197.5.png</t>
  </si>
  <si>
    <t>Proximity of items Colours involved Complexity of image</t>
  </si>
  <si>
    <t>dense points/lines/shapes/elements; unclear colormaps</t>
  </si>
  <si>
    <t>color contrast/clarity; more charts/points/lines/shapes/elements</t>
  </si>
  <si>
    <t>chart --&gt; whole.visualization [overall] | data_items --&gt; content.data [data_area] | color_encoding --&gt; property.color [data_area]</t>
  </si>
  <si>
    <t>items_in_close_proximity @ data_items (content.data) [-] | multiple_colors_present @ color_encoding (property.color) [+]</t>
  </si>
  <si>
    <t>data_items(content.data) --grouped_by--&gt; color_encoding(property.color) [+] | data_items(content.data) --proximity_reduces_clutter--&gt; chart(whole.visualization) [-]</t>
  </si>
  <si>
    <t>InfoVisJ.2251.3(3).png</t>
  </si>
  <si>
    <t>I simply don't understand what it represent; The other image is just a few lines joined</t>
  </si>
  <si>
    <t>few points/lines/shapes/elements; not interpretable/readable/understandable</t>
  </si>
  <si>
    <t>lines --&gt; mark.line [data_area] | chart --&gt; whole.visualization [overall]</t>
  </si>
  <si>
    <t>few_lines_joined @ lines (mark.line) [-] | difficult_to_understand @ chart (whole.visualization) [+]</t>
  </si>
  <si>
    <t>lines(mark.line) --contributes_to_confusion_in--&gt; chart(whole.visualization) [+]</t>
  </si>
  <si>
    <t>SciVisJ.980.7(2).png</t>
  </si>
  <si>
    <t>it is clearer what I can learn.</t>
  </si>
  <si>
    <t>SciVisJ.728.4(2).png</t>
  </si>
  <si>
    <t>I saw that this is visually complex because it was dark and black and no one knows whats hidden</t>
  </si>
  <si>
    <t>unknown hidden content; black-to-white/color gradient; complicated to process</t>
  </si>
  <si>
    <t>visualization --&gt; whole.visualization [overall] | dark_regions --&gt; structure.region [data_area] | hidden_content --&gt; content.detail [data_area]</t>
  </si>
  <si>
    <t>dark_and_black_coloring @ dark_regions (structure.region) [+] | obscured_underlying_data @ hidden_content (content.detail) [+] | visually_complex_overall @ visualization (whole.visualization) [+]</t>
  </si>
  <si>
    <t>dark_regions(structure.region) --conceals--&gt; hidden_content(content.detail) [+] | hidden_content(content.detail) --increases_uncertainty_in--&gt; visualization(whole.visualization) [+]</t>
  </si>
  <si>
    <t>VisC.27.5.png</t>
  </si>
  <si>
    <t>theres a lot going on on the left and i do not know what. there is no title etc</t>
  </si>
  <si>
    <t>more detailed/things; lack of/not enough axis labels/legend/annotations/context; unclear meaning/confusing</t>
  </si>
  <si>
    <t>labels/axes/legends; much/little data/info; unclear meaning/confusing</t>
  </si>
  <si>
    <t>chart --&gt; whole.visualization [overall] | title --&gt; text.title [title] | visual_elements --&gt; mark.element [data_area]</t>
  </si>
  <si>
    <t>high_visual_busyness @ chart (whole.visualization) [+] | missing_title @ title (text.title) [+] | unclear_subject_matter @ chart (whole.visualization) [+] | many_elements_present @ visual_elements (mark.element) [+]</t>
  </si>
  <si>
    <t>title(text.title) --absent_from--&gt; chart(whole.visualization) [+] | visual_elements(mark.element) --overwhelms--&gt; chart(whole.visualization) [+] | chart(whole.visualization) --lacks_interpretive_context_for--&gt; visual_elements(mark.element) [+]</t>
  </si>
  <si>
    <t>VASTC.43.2.png</t>
  </si>
  <si>
    <t>It seems to have more elements that provide information. Those elements seem to be less ordered so it transmits a sensation os caos.</t>
  </si>
  <si>
    <t>more charts/points/lines/shapes/elements; less organized elements</t>
  </si>
  <si>
    <t>less organized elements; more charts/points/lines/shapes/elements</t>
  </si>
  <si>
    <t>chart_elements --&gt; whole.visualization [data_area] | layout --&gt; structure.layout [overall]</t>
  </si>
  <si>
    <t>high_element_count @ chart_elements (whole.visualization) [+] | disordered_arrangement @ layout (structure.layout) [+]</t>
  </si>
  <si>
    <t>chart_elements(whole.visualization) --contributes_to--&gt; layout(structure.layout) [+]</t>
  </si>
  <si>
    <t>VisJ.1329.1(4).png</t>
  </si>
  <si>
    <t>2. I dont understand what the shapes represent. 3. Why is it moving like that.</t>
  </si>
  <si>
    <t>unclear movement; unclear shape meaning</t>
  </si>
  <si>
    <t>shapes --&gt; mark.shape [data_area] | motion --&gt; property.encoding [overall]</t>
  </si>
  <si>
    <t>unclear_shape_meaning @ shapes (mark.shape) [+] | unrecognizable_visual_encoding @ shapes (mark.shape) [+] | confusing_movement_pattern @ motion (property.encoding) [+] | unexplained_animation_behavior @ motion (property.encoding) [+]</t>
  </si>
  <si>
    <t>motion(property.encoding) --increases_confusion_of--&gt; shapes(mark.shape) [+]</t>
  </si>
  <si>
    <t>VisC.559.6.png</t>
  </si>
  <si>
    <t>The right image shows something that looks like multiple elements interacting with each other potentially; Too many moving parts. Random letters. There is no apparent directional flow for the arrows. Messy.; First of all it has a lot of arrows pointing in different directions which is very confusing and seems complex. Secondly, I have no idea what any of it means since their isn't and numbers associated with it.</t>
  </si>
  <si>
    <t>messy/mixed up/noisy/intermingled elements; too more points/lines/shapes/elements; different movement; unclear movement; lack of/not enough axis labels/legend/annotations/context; unclear meaning/confusing</t>
  </si>
  <si>
    <t>distracting/confusing/unclear; labels/axes/legends; more charts/points/lines/shapes/elements; overlapping shapes/colors/lines; unclear meaning/confusing</t>
  </si>
  <si>
    <t>arrows --&gt; mark.symbol [data_area] | letters --&gt; text.label [data_area] | numbers --&gt; content.number [axes] | layout --&gt; structure.layout [overall] | elements --&gt; mark.element [data_area]</t>
  </si>
  <si>
    <t>pointing_in_different_directions @ arrows (mark.symbol) [+] | no_apparent_directional_flow @ arrows (mark.symbol) [+] | random_letter_labels @ letters (text.label) [+] | no_numbers_present @ numbers (content.number) [+] | messy_overall_layout @ layout (structure.layout) [+] | very_confusing_appearance @ layout (structure.layout) [+] | too_many_moving_parts @ elements (mark.element) [+] | meaning_not_interpretable @ elements (mark.element) [+]</t>
  </si>
  <si>
    <t>elements(mark.element) --interact_with_each_other--&gt; arrows(mark.symbol) [+] | arrows(mark.symbol) --lacks_association_with--&gt; letters(text.label) [+] | layout(structure.layout) --absence_of--&gt; numbers(content.number) [+]</t>
  </si>
  <si>
    <t>InfoVisJ.2251.1(3).png</t>
  </si>
  <si>
    <t>The right has an alphabetical ordered set of geometry, there are different shades and details on the geometry but it isn't enough to make it more complex than the left.; Information about what the visualisation is showing</t>
  </si>
  <si>
    <t>ordered; shapes; visualization meaning; color shading</t>
  </si>
  <si>
    <t>color variety/shading; ordered; shapes and lines; unclear meaning/confusing</t>
  </si>
  <si>
    <t>chart --&gt; whole.visualization [overall] | labels --&gt; text.label [axes] | color_shades --&gt; property.color [data_area] | geometric_shapes --&gt; mark.shape [data_area]</t>
  </si>
  <si>
    <t>alphabetically_ordered @ labels (text.label) [-] | different_shades_used @ color_shades (property.color) [-] | geometry_set_unclear @ geometric_shapes (mark.shape) [+] | unclear_visualization_purpose @ chart (whole.visualization) [+]</t>
  </si>
  <si>
    <t>color_shades(property.color) --reduces_ambiguity_of--&gt; geometric_shapes(mark.shape) [-] | geometric_shapes(mark.shape) --increases_effort(raw:increases_interpretive_difficulty_of)--&gt; chart(whole.visualization) [+]</t>
  </si>
  <si>
    <t>SciVisJ.797.13(3).png</t>
  </si>
  <si>
    <t>it has more details the ranking system is beyond my understanding images are difficult to make sense of</t>
  </si>
  <si>
    <t>more detailed/things; uninterpretable ranking; hard to interpret/read/understand/differentiate</t>
  </si>
  <si>
    <t>easy/hard to interpret; much/little data/info; shapes and lines</t>
  </si>
  <si>
    <t>visualization --&gt; whole.visualization [overall] | ranking_system --&gt; structure.hierarchy [data_area] | images --&gt; whole.visualization [data_area]</t>
  </si>
  <si>
    <t>high_detail_density @ visualization (whole.visualization) [+] | beyond_comprehension @ ranking_system (structure.hierarchy) [+] | difficult_to_interpret @ images (whole.visualization) [+]</t>
  </si>
  <si>
    <t>ranking_system(structure.hierarchy) --increases_effort(raw:increases_cognitive_load_of)--&gt; visualization(whole.visualization) [+] | images(whole.visualization) --contributes_clutter_to--&gt; visualization(whole.visualization) [+]</t>
  </si>
  <si>
    <t>InfoVisJ.1558.5.png</t>
  </si>
  <si>
    <t>the left one seems to explain some kind of pattern in the blue box, therefore i didn't think it imply anything too complicated.; it's clear it's something oval-shaped stretched out differently</t>
  </si>
  <si>
    <t>shapes; size variation; familiar representation; unclear coloring; easy to derive meaning</t>
  </si>
  <si>
    <t>color contrast/clarity; domain-specific concepts (e.g., chemical, biology, map); easy/hard to interpret; shapes and lines</t>
  </si>
  <si>
    <t>oval_shape --&gt; mark.shape [data_area] | blue_box --&gt; structure.panel [data_area] | pattern --&gt; structure.pattern [overall]</t>
  </si>
  <si>
    <t>oval_shaped_form @ oval_shape (mark.shape) [-] | stretched_differently @ oval_shape (mark.shape) [-] | blue_colored_box @ blue_box (structure.panel) [-] | recognizable_pattern_present @ pattern (structure.pattern) [-] | not_overly_complicated @ pattern (structure.pattern) [-]</t>
  </si>
  <si>
    <t>oval_shape(mark.shape) --contributes_to--&gt; pattern(structure.pattern) [-] | blue_box(structure.panel) --part_of--&gt; pattern(structure.pattern) [-]</t>
  </si>
  <si>
    <t>VisJ.1421.5(2).png</t>
  </si>
  <si>
    <t>For me is more complex because it has no legends - I cannot understand it</t>
  </si>
  <si>
    <t>chart --&gt; whole.visualization [overall] | legend --&gt; furniture.legend [legend]</t>
  </si>
  <si>
    <t>difficult_to_interpret @ chart (whole.visualization) [+] | legend_absent @ legend (furniture.legend) [+]</t>
  </si>
  <si>
    <t>legend(furniture.legend) --missing_from--&gt; chart(whole.visualization) [+]</t>
  </si>
  <si>
    <t>VisJ.1197.5(4).png</t>
  </si>
  <si>
    <t>I can't tell what the image is about; blobs</t>
  </si>
  <si>
    <t>unclear_subject_matter @ visualization (whole.visualization) [+]</t>
  </si>
  <si>
    <t>VisJ.1595.6(2).png</t>
  </si>
  <si>
    <t>I believe that the image on the left is more complex because it includes more writing on the actual page, more color, more shapes, and overall, it fills the paper more, making it a more complex image.; how objects spread over the whole picture; its an equation giving coordinates and its hard to solve the dotted lines and the picture itself; The one to the right does not sound familiar to me at all. I guess it has something to do with familiarity.; the other graphic is something i am not familiar with and that is why i had chosen it; Confusing, text on left is hard to read.; multiple colors, shape, dashed box and line, unfamiliar with terms make the right one more complicated.; Both images are complex to me in their simplicity.</t>
  </si>
  <si>
    <t>more charts/points/lines/shapes/elements; much/more data/info/info spread; shapes; shapes and lines; code/text; lack of meaning; more texts/words; readability; unfamiliar concepts/patterns; color variety/arrangement/distribution; distracting/confusing/unclear; hard to see/tell/visualize; require specialized knowledge</t>
  </si>
  <si>
    <t>amount of words/context/numbers; color variety/shading; distracting/confusing/unclear; domain-specific concepts (e.g., chemical, biology, map); easy/hard to interpret; more charts/points/lines/shapes/elements; much/little data/info; shapes and lines; take longer to interpret; unclear meaning/confusing; word rotation/small font size</t>
  </si>
  <si>
    <t>text_labels --&gt; text.label [overall] | shapes --&gt; mark.shape [data_area] | dashed_box --&gt; structure.panel [data_area] | dashed_line --&gt; mark.line [data_area] | color_encoding --&gt; property.color [overall] | terminology --&gt; content.domain [annotation]</t>
  </si>
  <si>
    <t>hard_to_read @ text_labels (text.label) [+] | dense_writing @ text_labels (text.label) [+] | unfamiliar_domain_terms @ text_labels (text.label) [+] | multiple_shapes_present @ shapes (mark.shape) [+] | objects_spread_over_area @ shapes (mark.shape) [+] | dashed_box_present @ dashed_box (structure.panel) [+] | dashed_line_present @ dashed_line (mark.line) [+] | multiple_colors_used @ color_encoding (property.color) [+] | unfamiliar_concepts @ terminology (content.domain) [+] | domain_knowledge_required @ terminology (content.domain) [+]</t>
  </si>
  <si>
    <t>shapes(mark.shape) --increases_clutter_with--&gt; dashed_box(structure.panel) [+] | shapes(mark.shape) --combined_with--&gt; dashed_line(mark.line) [+] | color_encoding(property.color) --increases_complexity(raw:adds_complexity_to)--&gt; shapes(mark.shape) [+] | text_labels(text.label) --associated_with--&gt; terminology(content.domain) [+] | shapes(mark.shape) --spread_across--&gt; dashed_box(structure.panel) [+]</t>
  </si>
  <si>
    <t>SciVisJ.797.13(4).png</t>
  </si>
  <si>
    <t>I don't understand the design or the interest, I'm not familiar with this graphic design</t>
  </si>
  <si>
    <t>unfamiliar concepts/patterns; not interpretable/readable/understandable</t>
  </si>
  <si>
    <t>visualization --&gt; whole.visualization [overall] | graphic_design --&gt; whole.visualization [overall]</t>
  </si>
  <si>
    <t>unfamiliar_graphic_design @ graphic_design (whole.visualization) [+] | unclear_design_purpose @ graphic_design (whole.visualization) [+] | requires_domain_knowledge @ visualization (whole.visualization) [+] | difficult_to_interpret @ visualization (whole.visualization) [+]</t>
  </si>
  <si>
    <t>visualization(whole.visualization) --contains_unfamiliar--&gt; graphic_design(whole.visualization) [+] | graphic_design(whole.visualization) --increases_effort(raw:increases_cognitive_load_of)--&gt; visualization(whole.visualization) [+]</t>
  </si>
  <si>
    <t>VisJ.1949.4(3).png</t>
  </si>
  <si>
    <t>This image is more difficult to understand, it is complex, the message it wants to convey is not understood.</t>
  </si>
  <si>
    <t>more difficult to interpret/read/understand/differentiate</t>
  </si>
  <si>
    <t>difficult_to_understand @ visualization (whole.visualization) [+]</t>
  </si>
  <si>
    <t>SciVisC.49.5.png</t>
  </si>
  <si>
    <t>Hard to understand; multiple figures with different volume; visually too much color or details in a condensed zone</t>
  </si>
  <si>
    <t>multiple features/elements/graphs; element sizes; hard to interpret/read/understand</t>
  </si>
  <si>
    <t>figures --&gt; whole.visualization [overall] | volume --&gt; property.size [data_area] | layout --&gt; structure.layout [overall]</t>
  </si>
  <si>
    <t>multiple_figures_present @ figures (whole.visualization) [+] | different_volume_encodings @ volume (property.size) [+] | hard_to_understand @ layout (structure.layout) [+]</t>
  </si>
  <si>
    <t>figures(whole.visualization) --increases_clutter_via--&gt; layout(structure.layout) [+] | volume(property.size) --contributes_to_difficulty_of--&gt; layout(structure.layout) [+]</t>
  </si>
  <si>
    <t>VisC.389.7.png</t>
  </si>
  <si>
    <t>The left has no written information; the left has nothing to go on.</t>
  </si>
  <si>
    <t>lack of/not enough axis labels/legend/annotations/context; distracting/confusing/unclear; complicated to process; not interpretable/readable/understandable</t>
  </si>
  <si>
    <t>distracting/confusing/unclear; easy/hard to interpret; labels/axes/legends</t>
  </si>
  <si>
    <t>absent_text_labels @ visualization (whole.visualization) [+] | no_written_information @ visualization (whole.visualization) [+]</t>
  </si>
  <si>
    <t>VisJ.1329.5(3).png</t>
  </si>
  <si>
    <t>I cannot understand the pattern. It's not defined which shape or color means</t>
  </si>
  <si>
    <t>unclear shape; unfamiliar concepts/patterns; unclear color meaning</t>
  </si>
  <si>
    <t>color contrast/clarity; domain-specific concepts (e.g., chemical, biology, map); shapes and lines</t>
  </si>
  <si>
    <t>chart --&gt; whole.visualization [overall] | shape --&gt; mark.shape [data_area] | color --&gt; property.color [data_area] | pattern --&gt; structure.pattern [data_area]</t>
  </si>
  <si>
    <t>undefined_shape @ shape (mark.shape) [+] | undefined_color @ color (property.color) [+] | pattern_not_understandable @ pattern (structure.pattern) [+]</t>
  </si>
  <si>
    <t>shape(mark.shape) --contributes_to--&gt; pattern(structure.pattern) [+] | color(property.color) --contributes_to--&gt; pattern(structure.pattern) [+]</t>
  </si>
  <si>
    <t>SciVisJ.980.7.png</t>
  </si>
  <si>
    <t>Odd shapes, several different colors, difficult to understand what it's trying to represent</t>
  </si>
  <si>
    <t>unclear shape meaning; color variety/arrangement/distribution; hard to interpret/read/understand</t>
  </si>
  <si>
    <t>color variety/shading; easy/hard to interpret; unclear meaning/confusing</t>
  </si>
  <si>
    <t>shapes --&gt; mark.shape [data_area] | color_encoding --&gt; property.color [data_area] | visualization --&gt; whole.visualization [overall]</t>
  </si>
  <si>
    <t>odd_irregular_shapes @ shapes (mark.shape) [+] | multiple_different_colors @ color_encoding (property.color) [-] | difficult_to_understand @ visualization (whole.visualization) [+]</t>
  </si>
  <si>
    <t>shapes(mark.shape) --increases_clutter_in--&gt; visualization(whole.visualization) [+] | color_encoding(property.color) --aids_differentiation_in--&gt; visualization(whole.visualization) [-]</t>
  </si>
  <si>
    <t>VisC.647.8.png</t>
  </si>
  <si>
    <t>Absolutely nothing is understood.; the little grey and white peaces simply more.; No explanation of the data hence more dificult to understand</t>
  </si>
  <si>
    <t>lack of legend; more difficult to interpret/read/understand/differentiate; not interpretable/readable/understandable</t>
  </si>
  <si>
    <t>visualization --&gt; whole.visualization [overall] | data_content --&gt; content.data [data_area] | explanation_text --&gt; text.label [annotation]</t>
  </si>
  <si>
    <t>nothing_is_understood @ visualization (whole.visualization) [+] | difficult_to_interpret @ visualization (whole.visualization) [+] | no_data_explanation @ data_content (content.data) [+] | absent_or_insufficient @ explanation_text (text.label) [+]</t>
  </si>
  <si>
    <t>explanation_text(text.label) --fails_to_clarify--&gt; data_content(content.data) [+] | data_content(content.data) --increases_effort(raw:increases_interpretive_difficulty_of)--&gt; visualization(whole.visualization) [+]</t>
  </si>
  <si>
    <t>VASTC.81.3(2).png</t>
  </si>
  <si>
    <t>the simpler visual which just uses shapes and a limited colour range</t>
  </si>
  <si>
    <t>shapes; inadequate/few coloring</t>
  </si>
  <si>
    <t>inadequate/few coloring; shapes and lines</t>
  </si>
  <si>
    <t>shapes --&gt; mark.shape [data_area] | color_palette --&gt; property.color [overall]</t>
  </si>
  <si>
    <t>multiple_shape_types @ shapes (mark.shape) [+] | limited_color_range @ color_palette (property.color) [-]</t>
  </si>
  <si>
    <t>shapes(mark.shape) --encoded_with--&gt; color_palette(property.color) [-]</t>
  </si>
  <si>
    <t>VisJ.1949.7(2).png</t>
  </si>
  <si>
    <t>The first one looks like a kid's drawing.</t>
  </si>
  <si>
    <t>a specific domain</t>
  </si>
  <si>
    <t>crude_informal_appearance @ visualization (whole.visualization) [+]</t>
  </si>
  <si>
    <t>SciVisJ.980.13.png</t>
  </si>
  <si>
    <t>The left option seemed more like a graphic</t>
  </si>
  <si>
    <t>graphic_like_appearance @ visualization (whole.visualization) [-]</t>
  </si>
  <si>
    <t>SciVisJ.980.9.png</t>
  </si>
  <si>
    <t>The other image is easier to understand as the figures are displayed along with the countries, so with just a glance everything is summarized. - small font for the text in the description - the color aspect (grey map on dark background); The 2x2 matrix patterns are clear and the symbols (to the right) are more easily recognizable.</t>
  </si>
  <si>
    <t>a specific technique; symbols; easy to identify/extract/find features</t>
  </si>
  <si>
    <t>domain-specific concepts (e.g., chemical, biology, map); easy/hard to interpret; symbols</t>
  </si>
  <si>
    <t>matrix --&gt; structure.grid [data_area] | symbols --&gt; mark.symbol [data_area]</t>
  </si>
  <si>
    <t>recognizable_pattern_structure @ matrix (structure.grid) [-] | easily_recognizable_symbols @ symbols (mark.symbol) [-] | simple_symbol_variety @ symbols (mark.symbol) [-]</t>
  </si>
  <si>
    <t>matrix(structure.grid) --contains--&gt; symbols(mark.symbol) [-] | symbols(mark.symbol) --aids_interpretation(raw:aids_interpretation_of)--&gt; matrix(structure.grid) [-]</t>
  </si>
  <si>
    <t>VisJ.1499.2.png</t>
  </si>
  <si>
    <t>image on the right is more visually clean.</t>
  </si>
  <si>
    <t>visual clarity/appealing</t>
  </si>
  <si>
    <t>visually_clean_layout @ visualization (whole.visualization) [-]</t>
  </si>
  <si>
    <t>InfoVisJ.2251.1(2).png</t>
  </si>
  <si>
    <t>I chose the orange-framed image as being more novel and complex to me. I was drawn to the pattern of the image.</t>
  </si>
  <si>
    <t>novel_visual_pattern @ visualization (whole.visualization) [+]</t>
  </si>
  <si>
    <t>SciVisJ.797.11(3).png</t>
  </si>
  <si>
    <t>The reason why the orange one was more complex was that the legend behind it was far more vague.</t>
  </si>
  <si>
    <t>title/axis/label/descriptions</t>
  </si>
  <si>
    <t>legend --&gt; furniture.legend [legend]</t>
  </si>
  <si>
    <t>vague_and_unclear @ legend (furniture.legend) [+]</t>
  </si>
  <si>
    <t>VisJ.1949.11(2).png</t>
  </si>
  <si>
    <t>the shapes and colors are abstract</t>
  </si>
  <si>
    <t>abstract_representation @ visualization (whole.visualization) [+]</t>
  </si>
  <si>
    <t>VisJ.1949.13.png</t>
  </si>
  <si>
    <t>It's too many dots and different color. Also, it's darker.</t>
  </si>
  <si>
    <t>more charts/points/lines/shapes/elements; color variety/arrangement/distribution; unclear coloring</t>
  </si>
  <si>
    <t>color contrast/clarity; color variety/shading; more charts/points/lines/shapes/elements</t>
  </si>
  <si>
    <t>dots --&gt; mark.point [data_area] | color --&gt; property.color [data_area]</t>
  </si>
  <si>
    <t>high_dot_quantity @ dots (mark.point) [+] | visually_cluttered_marks @ dots (mark.point) [+] | darker_tone @ color (property.color) [+] | multiple_different_colors @ color (property.color) [+]</t>
  </si>
  <si>
    <t>dots(mark.point) --encoded_with--&gt; color(property.color) [+] | color(property.color) --increases_effort(raw:increases_cognitive_load_of)--&gt; dots(mark.point) [+]</t>
  </si>
  <si>
    <t>VisJ.1949.18.png</t>
  </si>
  <si>
    <t>it contains multiple figures that are slightly different in terms of 1) overall shape, 2) colour distribution and 3) location within the image.</t>
  </si>
  <si>
    <t>image location; overall shape; color variety/arrangement/distribution</t>
  </si>
  <si>
    <t>2D/3D; color variety/shading; shapes and lines</t>
  </si>
  <si>
    <t>visualization --&gt; whole.visualization [overall] | shape --&gt; mark.shape [data_area] | color_distribution --&gt; property.color [data_area]</t>
  </si>
  <si>
    <t>ambiguous_spatial_location @ visualization (whole.visualization) [+] | complex_overall_shape @ shape (mark.shape) [+] | varied_color_distribution @ color_distribution (property.color) [+]</t>
  </si>
  <si>
    <t>color_distribution(property.color) --increases_clutter_of--&gt; visualization(whole.visualization) [+] | shape(mark.shape) --contributes_to_complexity_of--&gt; visualization(whole.visualization) [+]</t>
  </si>
  <si>
    <t>VisC.249.6.png</t>
  </si>
  <si>
    <t>there are too many spirale</t>
  </si>
  <si>
    <t>spirals --&gt; mark.shape [data_area]</t>
  </si>
  <si>
    <t>too_many_spirals @ spirals (mark.shape) [+]</t>
  </si>
  <si>
    <t>InfoVisJ.1558.7.png</t>
  </si>
  <si>
    <t>It is more complex than a simple line graph seen in the other data</t>
  </si>
  <si>
    <t>line_graph --&gt; whole.visualization [overall]</t>
  </si>
  <si>
    <t>line_graph_format @ line_graph (whole.visualization) [+]</t>
  </si>
  <si>
    <t>VisJ.1949.2.png</t>
  </si>
  <si>
    <t>Colors, various shapes</t>
  </si>
  <si>
    <t>shape variety; unclear colormaps</t>
  </si>
  <si>
    <t>color contrast/clarity; shapes and lines</t>
  </si>
  <si>
    <t>chart --&gt; whole.visualization [overall] | shapes --&gt; mark.shape [data_area] | colors --&gt; property.color [data_area]</t>
  </si>
  <si>
    <t>various_shape_types @ shapes (mark.shape) [+] | multiple_colors_present @ colors (property.color) [+]</t>
  </si>
  <si>
    <t>shapes(mark.shape) --encoded_with--&gt; colors(property.color) [+]</t>
  </si>
  <si>
    <t>VisJ.1329.1.png</t>
  </si>
  <si>
    <t>Unclear. The image does not have enough color. Also what am I looking at in the left image.</t>
  </si>
  <si>
    <t>inadequate/few coloring; distracting/confusing/unclear</t>
  </si>
  <si>
    <t>distracting/confusing/unclear; inadequate/few coloring</t>
  </si>
  <si>
    <t>visualization --&gt; whole.visualization [overall] | color_scheme --&gt; property.color [overall]</t>
  </si>
  <si>
    <t>insufficient_color_variety @ color_scheme (property.color) [+] | unclear_visual_presentation @ visualization (whole.visualization) [+]</t>
  </si>
  <si>
    <t>color_scheme(property.color) --contributes_to_unclarity_of--&gt; visualization(whole.visualization) [+]</t>
  </si>
  <si>
    <t>VisC.248.3.png</t>
  </si>
  <si>
    <t>The left image has an overall pleasing pattern which makes a holisitic understanding or comprehension more available than the image on the right.; The image on the left had more fine detail than the image on the right. A lot more was happening in the entirety of the space in the image on the left compared to the image on the right, which had more unused space. The preciseness of the lines (thickness, intensity, etc.) was more important to the diagram on the left than the one on the right.</t>
  </si>
  <si>
    <t>more detailed/things; precision of lines; familiar representation; easy to interpret/read/understand</t>
  </si>
  <si>
    <t>domain-specific concepts (e.g., chemical, biology, map); easy/hard to interpret; much/little data/info; shapes and lines</t>
  </si>
  <si>
    <t>lines --&gt; mark.line [data_area] | pattern --&gt; structure.pattern [overall] | visualization --&gt; whole.visualization [overall]</t>
  </si>
  <si>
    <t>fine_detail_present @ lines (mark.line) [+] | precise_line_thickness @ lines (mark.line) [+] | precise_line_intensity @ lines (mark.line) [+] | overall_pleasing_pattern @ pattern (structure.pattern) [-] | holistic_comprehension_available @ visualization (whole.visualization) [-]</t>
  </si>
  <si>
    <t>lines(mark.line) --contributes_fine_detail_to--&gt; pattern(structure.pattern) [+] | pattern(structure.pattern) --facilitates_understanding_of--&gt; visualization(whole.visualization) [-]</t>
  </si>
  <si>
    <t>SciVisJ.877.8(2).png</t>
  </si>
  <si>
    <t>1. The other one looks like a wind map which I am familiar with.</t>
  </si>
  <si>
    <t>domain-specific concepts (e.g., chemical, biology, map); familiar representation</t>
  </si>
  <si>
    <t>wind_map --&gt; whole.visualization [overall]</t>
  </si>
  <si>
    <t>familiar_chart_type @ wind_map (whole.visualization) [-] | recognizable_wind_map @ wind_map (whole.visualization) [-]</t>
  </si>
  <si>
    <t>wind_map(whole.visualization) --reduces_cognitive_load_via--&gt; wind_map(whole.visualization) [-]</t>
  </si>
  <si>
    <t>SciVisJ.995.10(3).png</t>
  </si>
  <si>
    <t>Visual cues to make you understand what you're trying to analyze in the image.; random colours in random places; There is a more complex arrangement of shapes and colours; There are less visual items in this image; -Understanding of what I am looking at -Understanding the shapes -Understanding the information</t>
  </si>
  <si>
    <t>little data/info; random-like movement; shape arrangement; ambiguous/confusing colors; color variety/arrangement/distribution; visual cues</t>
  </si>
  <si>
    <t>color contrast/clarity; color variety/shading; distracting/confusing/unclear; much/little data/info; shapes and lines; unclear meaning/confusing</t>
  </si>
  <si>
    <t>shapes --&gt; mark.shape [data_area] | colors --&gt; property.color [data_area] | visual_cues --&gt; property.encoding [data_area] | layout --&gt; structure.layout [overall]</t>
  </si>
  <si>
    <t>complex_arrangement_of_shapes @ shapes (mark.shape) [+] | complex_color_arrangement @ colors (property.color) [+] | multiple_visual_cues_present @ visual_cues (property.encoding) [+] | fewer_visual_items @ shapes (mark.shape) [-] | randomly_placed_elements @ layout (structure.layout) [-] | random_color_usage @ colors (property.color) [-]</t>
  </si>
  <si>
    <t>shapes(mark.shape) --encoded_with--&gt; colors(property.color) [+] | visual_cues(property.encoding) --increases_effort(raw:increases_cognitive_load_of)--&gt; layout(structure.layout) [+] | shapes(mark.shape) --distributed_across--&gt; layout(structure.layout) [-]</t>
  </si>
  <si>
    <t>SciVisJ.821.16.png</t>
  </si>
  <si>
    <t>the colours used.</t>
  </si>
  <si>
    <t>colors_aid_interpretation @ visualization (whole.visualization) [-]</t>
  </si>
  <si>
    <t>VisJ.1499.5.png</t>
  </si>
  <si>
    <t>The image not selected is easier to see</t>
  </si>
  <si>
    <t>easier to see/tell/visualize</t>
  </si>
  <si>
    <t>v490_n7420_13_f1.png</t>
  </si>
  <si>
    <t>The line and shape of the image is more complex</t>
  </si>
  <si>
    <t>line --&gt; mark.line [data_area] | shape --&gt; mark.shape [data_area]</t>
  </si>
  <si>
    <t>present_in_chart @ line (mark.line) [+] | present_in_chart @ shape (mark.shape) [+]</t>
  </si>
  <si>
    <t>line(mark.line) --combined_with--&gt; shape(mark.shape) [+]</t>
  </si>
  <si>
    <t>VisC.73.8(2).png</t>
  </si>
  <si>
    <t>There appears to be a lot of data points. Uncertainty as to what the image is stating. Uncertainty on whether there was a gradient or not (what does black mean, what does green mean, what does yellow mean).</t>
  </si>
  <si>
    <t>more charts/points/lines/shapes/elements; black-to-white/color gradient; inadequate/few coloring; unclear color meaning; unclear coloring; looks random/messy/lack structure</t>
  </si>
  <si>
    <t>color contrast/clarity; color variety/shading; distracting/confusing/unclear; inadequate/few coloring; more charts/points/lines/shapes/elements</t>
  </si>
  <si>
    <t>data_points --&gt; mark.point [data_area] | gradient --&gt; property.color [data_area] | black_elements --&gt; mark.element [data_area] | green_elements --&gt; mark.element [data_area] | yellow_elements --&gt; mark.element [data_area]</t>
  </si>
  <si>
    <t>high_quantity_of_points @ data_points (mark.point) [+] | gradient_color_transition @ gradient (property.color) [+] | black_color_present @ black_elements (mark.element) [+] | green_color_present @ green_elements (mark.element) [+] | yellow_color_present @ yellow_elements (mark.element) [+] | introduces_visual_uncertainty @ gradient (property.color) [+]</t>
  </si>
  <si>
    <t>data_points(mark.point) --encoded_with--&gt; gradient(property.color) [+] | gradient(property.color) --spans_colors_including--&gt; black_elements(mark.element) [+] | gradient(property.color) --spans_colors_including--&gt; green_elements(mark.element) [+] | gradient(property.color) --spans_colors_including--&gt; yellow_elements(mark.element) [+] | data_points(mark.point) --creates_interpretive_uncertainty--&gt; gradient(property.color) [+]</t>
  </si>
  <si>
    <t>VisJ.1595.9(2).png</t>
  </si>
  <si>
    <t>more graphic; no or few data; 3D; more white space</t>
  </si>
  <si>
    <t>little data/info; more charts/points/lines/shapes/elements; 2D/3D; white/black background / other background</t>
  </si>
  <si>
    <t>2D/3D; more charts/points/lines/shapes/elements; much/little data/info; white/black background / other background</t>
  </si>
  <si>
    <t>chart --&gt; whole.visualization [overall] | graphic_element --&gt; mark.element [data_area] | white_space --&gt; structure.background [overall] | data_points --&gt; mark.point [data_area]</t>
  </si>
  <si>
    <t>more_graphic_content @ graphic_element (mark.element) [+] | few_or_no_data @ data_points (mark.point) [+] | excessive_white_space @ white_space (structure.background) [+] | three_dimensional_structure @ chart (whole.visualization) [+]</t>
  </si>
  <si>
    <t>white_space(structure.background) --dominates--&gt; data_points(mark.point) [+] | chart(whole.visualization) --rendered_in--&gt; graphic_element(mark.element) [+]</t>
  </si>
  <si>
    <t>SciVisJ.822.12.png</t>
  </si>
  <si>
    <t>blue coloured other picture</t>
  </si>
  <si>
    <t>blue color</t>
  </si>
  <si>
    <t>blue_colored @ visualization (whole.visualization) [-]</t>
  </si>
  <si>
    <t>InfoVisJ.1073.3.png</t>
  </si>
  <si>
    <t>The picture on the right just made me confused looking at it. I assume it's something in biology but not sure what.</t>
  </si>
  <si>
    <t>domain-specific concepts (e.g., chemical, biology, map); unclear meaning/confusing</t>
  </si>
  <si>
    <t>visualization --&gt; whole.visualization [overall] | biological_content --&gt; content.domain [data_area]</t>
  </si>
  <si>
    <t>domain_specific_biology @ biological_content (content.domain) [+] | causes_viewer_confusion @ visualization (whole.visualization) [+]</t>
  </si>
  <si>
    <t>biological_content(content.domain) --increases_effort(raw:increases_cognitive_load_of)--&gt; visualization(whole.visualization) [+]</t>
  </si>
  <si>
    <t>SciVisJ.867.7.png</t>
  </si>
  <si>
    <t>amount of words/context/numbers; easier to interpret/read/understand; easy to interpret/read/understand; more reading/interpretation/understanding</t>
  </si>
  <si>
    <t>amount of words/context/numbers; easy/hard to interpret; take longer to interpret</t>
  </si>
  <si>
    <t>visualization --&gt; whole.visualization [overall] | text_labels --&gt; text.label [axes] | data_content --&gt; content.data [data_area]</t>
  </si>
  <si>
    <t>easily_understandable_information @ visualization (whole.visualization) [-] | quickly_interpreted_meaning @ visualization (whole.visualization) [-] | high_reading_demand @ text_labels (text.label) [+] | clear_information_presentation @ data_content (content.data) [-]</t>
  </si>
  <si>
    <t>text_labels(text.label) --increases_cognitive_effort_of--&gt; visualization(whole.visualization) [+] | data_content(content.data) --supports_quick_interpretation_of--&gt; visualization(whole.visualization) [-]</t>
  </si>
  <si>
    <t>SciVisJ.2664.2.png</t>
  </si>
  <si>
    <t>not enough knowledge to tell; color represents groups</t>
  </si>
  <si>
    <t>visualization --&gt; whole.visualization [overall] | color_range --&gt; property.color [data_area] | semantic_content --&gt; content.domain [overall]</t>
  </si>
  <si>
    <t>human_interpretable_layout @ visualization (whole.visualization) [-] | imaginable_meaning @ semantic_content (content.domain) [-] | range_of_colors_present @ color_range (property.color) [-] | colors_convey_meaning @ color_range (property.color) [-]</t>
  </si>
  <si>
    <t>color_range(property.color) --aids_interpretation(raw:aids_interpretation_of)--&gt; semantic_content(content.domain) [-]</t>
  </si>
  <si>
    <t>VisJ.1949.16(2).png</t>
  </si>
  <si>
    <t>I have chosen the left image to be more complex because of the following features: the amount of shapes in the image; the size of the shapes; no information about what the squares are highlighting; almost all the shapes are the same color.</t>
  </si>
  <si>
    <t>more charts/points/lines/shapes/elements; no square information; shape size; same colors</t>
  </si>
  <si>
    <t>color variety/shading; more charts/points/lines/shapes/elements; shape size; unclear meaning/confusing</t>
  </si>
  <si>
    <t>squares --&gt; mark.shape [data_area] | color --&gt; property.color [overall] | legend --&gt; furniture.legend [legend] | annotation --&gt; text.annotation [annotation]</t>
  </si>
  <si>
    <t>large_amount_of_shapes @ squares (mark.shape) [+] | varying_size_of_shapes @ squares (mark.shape) [+] | same_color_used @ color (property.color) [+] | no_information_about_squares @ legend (furniture.legend) [+] | missing_explanatory_labels @ annotation (text.annotation) [+]</t>
  </si>
  <si>
    <t>squares(mark.shape) --lacks_distinguishing--&gt; color(property.color) [+] | squares(mark.shape) --has_no_associated--&gt; legend(furniture.legend) [+] | squares(mark.shape) --varies_in_size_increasing--&gt; annotation(text.annotation) [+]</t>
  </si>
  <si>
    <t>InfoVisJ.1073.1.png</t>
  </si>
  <si>
    <t>I chose the first one because it has stuff all over the place which makes it very complex. Also, there's a lot of graphs jumbled up.</t>
  </si>
  <si>
    <t>messy/mixed up/noisy/intermingled elements; too many details/divisions</t>
  </si>
  <si>
    <t>more charts/points/lines/shapes/elements; overlapping shapes/colors/lines</t>
  </si>
  <si>
    <t>graphs --&gt; whole.visualization [overall] | visual_elements --&gt; mark.element [data_area]</t>
  </si>
  <si>
    <t>jumbled_arrangement @ graphs (whole.visualization) [+] | scattered_all_over @ visual_elements (mark.element) [+]</t>
  </si>
  <si>
    <t>graphs(whole.visualization) --creates_cluttered_layout--&gt; visual_elements(mark.element) [+]</t>
  </si>
  <si>
    <t>VASTJ.31.2.png</t>
  </si>
  <si>
    <t>The picture has text. and the black color grabbed my attention suddenly. Black is discordant here.</t>
  </si>
  <si>
    <t>word/text/sentence; black color; unclear colors/contrast</t>
  </si>
  <si>
    <t>amount of words/context/numbers; color variety/shading; unclear colors/contrast</t>
  </si>
  <si>
    <t>text --&gt; text.label [overall] | black_element --&gt; mark.element [overall]</t>
  </si>
  <si>
    <t>text_present @ text (text.label) [+] | grabs_visual_attention @ black_element (mark.element) [+] | discordant_color_choice @ black_element (mark.element) [+]</t>
  </si>
  <si>
    <t>black_element(mark.element) --increases_clutter_in--&gt; text(text.label) [+]</t>
  </si>
  <si>
    <t>v487_n7407_7_f2.png</t>
  </si>
  <si>
    <t>Right one is at least organized in a table; The right has a chart with labels and a key indicating what the colours represent, so even though there is a lot going on you can break down what it all means.</t>
  </si>
  <si>
    <t>more detailed/things; title/axis/label/descriptions; too much legend; a specific technique, e.g., bar, pie, circle; domain-specific concepts (e.g., chemical, biology, map); easy to interpret/read/understand</t>
  </si>
  <si>
    <t>domain-specific concepts (e.g., chemical, biology, map); easy/hard to interpret; labels/axes/legends; much/little data/info</t>
  </si>
  <si>
    <t>chart --&gt; whole.visualization [data_area] | legend --&gt; furniture.legend [legend] | labels --&gt; text.label [axes] | table --&gt; structure.grid [overall]</t>
  </si>
  <si>
    <t>high_visual_activity @ chart (whole.visualization) [+] | aids_interpretation @ legend (furniture.legend) [-] | clarifies_content @ labels (text.label) [-] | organized_structure @ table (structure.grid) [-]</t>
  </si>
  <si>
    <t>chart(whole.visualization) --accompanied_by--&gt; labels(text.label) [-] | legend(furniture.legend) --breaks_down_meaning_of--&gt; chart(whole.visualization) [-] | table(structure.grid) --structures(raw:organizes)--&gt; chart(whole.visualization) [-]</t>
  </si>
  <si>
    <t>InfoVisJ.1149.8(2).png</t>
  </si>
  <si>
    <t>This image have more items in it. The image is too tiny, I can't describe what I can't see.; Immense amount of detail. Vast use of colorization. Virtually impossible to decipher to layman. Tiny layout of individual images.</t>
  </si>
  <si>
    <t>dense/cluttered layout; more charts/points/lines/shapes/elements; more detailed/things; amount of / too many colors; hard to describe; hard to interpret/read/understand/differentiate</t>
  </si>
  <si>
    <t>color variety/shading; easy/hard to interpret; more charts/points/lines/shapes/elements; much/little data/info; overlapping shapes/colors/lines</t>
  </si>
  <si>
    <t>visualization --&gt; whole.visualization [overall] | data_items --&gt; content.data [data_area] | color_encoding --&gt; property.color [data_area] | text_labels --&gt; text.label [overall] | layout --&gt; structure.layout [overall]</t>
  </si>
  <si>
    <t>too_tiny_to_read @ visualization (whole.visualization) [+] | virtually_impossible_to_decipher @ visualization (whole.visualization) [+] | large_number_of_items @ data_items (content.data) [+] | immense_detail_present @ data_items (content.data) [+] | vast_colorization_use @ color_encoding (property.color) [+] | illegible_at_small_size @ text_labels (text.label) [+] | tiny_image_layout @ layout (structure.layout) [+]</t>
  </si>
  <si>
    <t>layout(structure.layout) --hinders_visibility_of--&gt; data_items(content.data) [+] | color_encoding(property.color) --increases_clutter_in--&gt; visualization(whole.visualization) [+] | data_items(content.data) --overwhelms_readability_of--&gt; text_labels(text.label) [+] | visualization(whole.visualization) --requires_expertise(raw:requires_domain_knowledge_to_interpret)--&gt; data_items(content.data) [+]</t>
  </si>
  <si>
    <t>InfoVisJ.2102.16.png</t>
  </si>
  <si>
    <t>There is too much data.It is not clear what the filled bars mean.; -Uneven shape -Higher contrast -Less organic shapes -Text and imagery</t>
  </si>
  <si>
    <t>too much data/info; less organic shapes; unclear filled bars; uneven shape; text and imagery; distinguishable/full/highly contrast color uses</t>
  </si>
  <si>
    <t>amount of words/context/numbers; distinguishable/full/highly contrast color uses; much/little data/info; shapes and lines; unclear meaning/confusing</t>
  </si>
  <si>
    <t>filled_bars --&gt; mark.bar [data_area] | data_elements --&gt; content.data [data_area] | shapes --&gt; mark.shape [data_area] | text_labels --&gt; text.label [axes] | imagery --&gt; whole.visualization [data_area] | color_contrast --&gt; property.color [overall]</t>
  </si>
  <si>
    <t>excessive_data_volume @ data_elements (content.data) [+] | visually_unclear_encoding @ filled_bars (mark.bar) [+] | non_organic_geometric_forms @ shapes (mark.shape) [+] | uneven_irregular_shape @ shapes (mark.shape) [+] | mixed_text_and_imagery @ text_labels (text.label) [+] | high_contrast_coloring @ color_contrast (property.color) [+]</t>
  </si>
  <si>
    <t>filled_bars(mark.bar) --contributes_to_clutter_in--&gt; data_elements(content.data) [+] | text_labels(text.label) --combined_with--&gt; imagery(whole.visualization) [+] | color_contrast(property.color) --amplifies_visual_complexity_of--&gt; shapes(mark.shape) [+]</t>
  </si>
  <si>
    <t>SciVisJ.807.5(2).png</t>
  </si>
  <si>
    <t>A few squares in the left, which look easier to understand. In the left there are axis, and axis look easier to understand. Few colours in the left.</t>
  </si>
  <si>
    <t>several elements; title/axis/label/descriptions; inadequate/few coloring; easier to interpret/read/understand</t>
  </si>
  <si>
    <t>easy/hard to interpret; inadequate/few coloring; labels/axes/legends; several elements</t>
  </si>
  <si>
    <t>squares --&gt; mark.shape [data_area] | axes --&gt; furniture.axes [axes] | color_scheme --&gt; property.color [overall]</t>
  </si>
  <si>
    <t>few_square_elements @ squares (mark.shape) [-] | axis_present @ axes (furniture.axes) [-] | few_colors_used @ color_scheme (property.color) [-] | easy_to_understand @ squares (mark.shape) [-]</t>
  </si>
  <si>
    <t>squares(mark.shape) --supported_by--&gt; axes(furniture.axes) [-] | color_scheme(property.color) --simplifies(raw:reduces_complexity_of)--&gt; squares(mark.shape) [-]</t>
  </si>
  <si>
    <t>VASTC.3.3.png</t>
  </si>
  <si>
    <t>The muted colors and similar size of the boxes makes it harder to distinguish what is going on.</t>
  </si>
  <si>
    <t>similar box sizes; soft/layered/overlapping colors; more difficult to compare/discern/distinguish</t>
  </si>
  <si>
    <t>easy/hard to interpret; shapes and lines; soft/layered/overlapping colors</t>
  </si>
  <si>
    <t>boxes --&gt; mark.shape [data_area] | color_scheme --&gt; property.color [overall]</t>
  </si>
  <si>
    <t>similar_box_sizes @ boxes (mark.shape) [+] | muted_colors_used @ color_scheme (property.color) [+] | harder_to_distinguish @ boxes (mark.shape) [+]</t>
  </si>
  <si>
    <t>color_scheme(property.color) --makes_harder_to_distinguish--&gt; boxes(mark.shape) [+] | boxes(mark.shape) --uniform_size_reduces_differentiation--&gt; color_scheme(property.color) [+]</t>
  </si>
  <si>
    <t>VASTC.123.3.png</t>
  </si>
  <si>
    <t>This one had less colors but a lot more images to look at and seemingly a lot of information to take in. It didn't look like charts I would be used to seeing</t>
  </si>
  <si>
    <t>more detailed/things; unfamiliar concepts/patterns; inadequate/few coloring; information overload</t>
  </si>
  <si>
    <t>domain-specific concepts (e.g., chemical, biology, map); inadequate/few coloring; much/little data/info; overlapping shapes/colors/lines</t>
  </si>
  <si>
    <t>chart_collection --&gt; whole.visualization [overall] | color_scheme --&gt; property.color [data_area] | chart_type --&gt; whole.visualization [data_area] | information_content --&gt; content.data [overall]</t>
  </si>
  <si>
    <t>high_image_count @ chart_collection (whole.visualization) [+] | limited_color_range @ color_scheme (property.color) [+] | unfamiliar_chart_forms @ chart_type (whole.visualization) [+] | high_information_volume @ information_content (content.data) [+]</t>
  </si>
  <si>
    <t>chart_collection(whole.visualization) --increases_cognitive_load_via--&gt; information_content(content.data) [+] | chart_type(whole.visualization) --requires_expertise(raw:requires_domain_knowledge_for)--&gt; information_content(content.data) [+] | color_scheme(property.color) --contributes_to_ambiguity_in--&gt; chart_collection(whole.visualization) [+]</t>
  </si>
  <si>
    <t>VASTC.59.11(1).png</t>
  </si>
  <si>
    <t>More data More elements Higher contrast It was more confusing; Needs more efffort to make sense of the data</t>
  </si>
  <si>
    <t>more charts/points/lines/shapes/elements; much/more data/info/info spread; distinguishable/full/highly contrast color uses; looks random/messy/lack structure; more effort/reading/detailed analysis</t>
  </si>
  <si>
    <t>distinguishable/full/highly contrast color uses; distracting/confusing/unclear; more charts/points/lines/shapes/elements; much/little data/info; take longer to interpret</t>
  </si>
  <si>
    <t>chart --&gt; whole.visualization [overall] | data_elements --&gt; content.data [data_area] | visual_marks --&gt; mark.element [data_area] | color_scheme --&gt; property.color [overall]</t>
  </si>
  <si>
    <t>high_data_volume @ data_elements (content.data) [+] | numerous_data_points @ data_elements (content.data) [+] | many_visual_elements @ visual_marks (mark.element) [+] | high_color_contrast @ color_scheme (property.color) [+] | confusing_layout @ chart (whole.visualization) [+] | requires_extra_effort @ chart (whole.visualization) [+]</t>
  </si>
  <si>
    <t>data_elements(content.data) --increases_clutter_in--&gt; chart(whole.visualization) [+] | visual_marks(mark.element) --contributes_to_confusion_in--&gt; chart(whole.visualization) [+] | color_scheme(property.color) --raises_cognitive_load_of--&gt; chart(whole.visualization) [+]</t>
  </si>
  <si>
    <t>VASTJ.1160.6.png</t>
  </si>
  <si>
    <t>Mostly because of the contrast of colours and more densely packed shapes, plus all the text.</t>
  </si>
  <si>
    <t>dense points/lines/shapes/elements; amount of words/context/numbers; low color contrast/separation/segmentation</t>
  </si>
  <si>
    <t>amount of words/context/numbers; color contrast/clarity; more charts/points/lines/shapes/elements</t>
  </si>
  <si>
    <t>shapes --&gt; mark.shape [data_area] | text --&gt; text.label [overall] | colors --&gt; property.color [data_area]</t>
  </si>
  <si>
    <t>densely_packed_arrangement @ shapes (mark.shape) [+] | high_text_volume @ text (text.label) [+] | high_color_contrast @ colors (property.color) [+]</t>
  </si>
  <si>
    <t>shapes(mark.shape) --creates_visual_clutter_with--&gt; colors(property.color) [+] | text(text.label) --increases_cognitive_load_alongside--&gt; shapes(mark.shape) [+]</t>
  </si>
  <si>
    <t>visMost83.png</t>
  </si>
  <si>
    <t>more information to process, more variables, more contrast</t>
  </si>
  <si>
    <t>much/more data/info/info spread; more contrast</t>
  </si>
  <si>
    <t>high_visual_contrast @ data_elements (content.data) [+] | dense_information_content @ data_elements (content.data) [+]</t>
  </si>
  <si>
    <t>InfoVisJ.946.6.png</t>
  </si>
  <si>
    <t>much/more data/info/info spread; take longer to interpret</t>
  </si>
  <si>
    <t>visualization --&gt; whole.visualization [overall] | data_content --&gt; content.data [data_area]</t>
  </si>
  <si>
    <t>high_information_volume @ data_content (content.data) [+] | requires_extended_processing_time @ visualization (whole.visualization) [+]</t>
  </si>
  <si>
    <t>data_content(content.data) --increases_effort(raw:increases_cognitive_load_of)--&gt; visualization(whole.visualization) [+]</t>
  </si>
  <si>
    <t>InfoVisJ.2072.12.png</t>
  </si>
  <si>
    <t>more colours and would take a few more moments to process.</t>
  </si>
  <si>
    <t>color variety/arrangement/distribution; take longer to interpret</t>
  </si>
  <si>
    <t>chart --&gt; whole.visualization [overall] | color_encoding --&gt; property.color [data_area] | visual_elements --&gt; mark.element [data_area]</t>
  </si>
  <si>
    <t>multiple_colors_present @ color_encoding (property.color) [+] | requires_extra_processing_time @ visual_elements (mark.element) [+]</t>
  </si>
  <si>
    <t>color_encoding(property.color) --increases_effort(raw:increases_cognitive_load_of)--&gt; chart(whole.visualization) [+] | visual_elements(mark.element) --demands_extra_interpretation_from--&gt; chart(whole.visualization) [+]</t>
  </si>
  <si>
    <t>VASTC.115.3.png</t>
  </si>
  <si>
    <t>more difficulty reading.</t>
  </si>
  <si>
    <t>difficult_to_read @ visualization (whole.visualization) [+]</t>
  </si>
  <si>
    <t>VisC.147.8(2).png</t>
  </si>
  <si>
    <t>I have no idea what the symbol and shading on the left is about.</t>
  </si>
  <si>
    <t>symbols and shading</t>
  </si>
  <si>
    <t>symbols</t>
  </si>
  <si>
    <t>symbols --&gt; mark.symbol [data_area] | shading --&gt; property.color [data_area]</t>
  </si>
  <si>
    <t>varied_symbol_types @ symbols (mark.symbol) [+] | shading_present @ shading (property.color) [+]</t>
  </si>
  <si>
    <t>symbols(mark.symbol) --combined_with--&gt; shading(property.color) [+]</t>
  </si>
  <si>
    <t>VASTJ.31.12(3).png</t>
  </si>
  <si>
    <t>Volume of information Time to evaluate context Spread of information on the image Data interpretation</t>
  </si>
  <si>
    <t>many/more data/info; much/more data/info/info spread</t>
  </si>
  <si>
    <t>more charts/points/lines/shapes/elements; much/little data/info</t>
  </si>
  <si>
    <t>high_information_volume @ data_content (content.data) [+] | manageable_information_volume @ data_content (content.data) [-] | well_spread_information @ visualization (whole.visualization) [-]</t>
  </si>
  <si>
    <t>data_content(content.data) --distributed_across--&gt; visualization(whole.visualization) [-]</t>
  </si>
  <si>
    <t>VASTJ.870.4.png</t>
  </si>
  <si>
    <t>Ease of understanding</t>
  </si>
  <si>
    <t>VASTC.41.5.png</t>
  </si>
  <si>
    <t>A lot of different colors and shapes, it took me a long time to understand what I was looking at and how to look at it.</t>
  </si>
  <si>
    <t>more charts/points/lines/shapes/elements; color variety/arrangement/distribution; take longer to interpret</t>
  </si>
  <si>
    <t>color variety/shading; more charts/points/lines/shapes/elements; take longer to interpret</t>
  </si>
  <si>
    <t>shapes --&gt; mark.shape [data_area] | colors --&gt; property.color [data_area] | chart --&gt; whole.visualization [overall]</t>
  </si>
  <si>
    <t>high_quantity_of_shapes @ shapes (mark.shape) [+] | multiple_distinct_colors @ colors (property.color) [-] | requires_long_interpretation_time @ chart (whole.visualization) [+]</t>
  </si>
  <si>
    <t>shapes(mark.shape) --encoded_with--&gt; colors(property.color) [-] | shapes(mark.shape) --contributes_to_difficulty_of--&gt; chart(whole.visualization) [+]</t>
  </si>
  <si>
    <t>VASTJ.1764.2.png</t>
  </si>
  <si>
    <t>I don't understand the graph and the half-shading compared to the second diagram.</t>
  </si>
  <si>
    <t>color shading; not interpretable/readable/understandable</t>
  </si>
  <si>
    <t>color variety/shading; easy/hard to interpret</t>
  </si>
  <si>
    <t>chart --&gt; whole.visualization [overall] | half_shading --&gt; property.opacity [data_area]</t>
  </si>
  <si>
    <t>unusual_shading_technique @ half_shading (property.opacity) [+] | difficult_to_interpret @ half_shading (property.opacity) [+] | unclear_meaning @ chart (whole.visualization) [+]</t>
  </si>
  <si>
    <t>half_shading(property.opacity) --causes_confusion_in--&gt; chart(whole.visualization) [+]</t>
  </si>
  <si>
    <t>vis393.png</t>
  </si>
  <si>
    <t>There are multiple components to this graphic. At first glance, there looks like there is a lot more to understand than the one on the right.</t>
  </si>
  <si>
    <t>more to read/analyze/understand; multiple features/elements/graphs</t>
  </si>
  <si>
    <t>visualization --&gt; whole.visualization [overall] | components --&gt; mark.element [data_area]</t>
  </si>
  <si>
    <t>high_interpretive_demand @ visualization (whole.visualization) [+] | multiple_distinct_components @ components (mark.element) [+]</t>
  </si>
  <si>
    <t>components(mark.element) --increases_effort(raw:increases_cognitive_load_of)--&gt; visualization(whole.visualization) [+]</t>
  </si>
  <si>
    <t>VASTJ.1160.7.png</t>
  </si>
  <si>
    <t>1. I do not understand the picture 2. It looks complex 3.Even if i try to understand it, i feel it will take me some time 4.So many details on the orange highlight</t>
  </si>
  <si>
    <t>too many details/divisions; not interpretable/readable/understandable</t>
  </si>
  <si>
    <t>high_detail_density @ details (content.detail) [+] | difficult_to_interpret @ visualization (whole.visualization) [+] | unclear_meaning @ visualization (whole.visualization) [+]</t>
  </si>
  <si>
    <t>details(content.detail) --overwhelms--&gt; visualization(whole.visualization) [+] | visualization(whole.visualization) --requires_specialized_understanding--&gt; details(content.detail) [+]</t>
  </si>
  <si>
    <t>VASTC.24.5.png</t>
  </si>
  <si>
    <t>The visual has a lot of confusing numbers, letters, and overall understandability. I find that it is hard to tell what it is trying to convey and what it even measures. There are too many colors, letters, and numbers.; There are differences between the three columns that I would need more time to realise.; A, B &amp; C has different bars; Some values are in the middle and according to me it's complicated to look at; I did not choose the left one. It seems to imply something that is not clearly stated and is not easily understood by the majority of people.</t>
  </si>
  <si>
    <t>too many numbers; several elements; unclear meaning; text hard to read; title/axis/label/descriptions; values in the middle; color variety/arrangement/distribution; distracting/confusing/unclear; complicated to process; hard to see/tell/visualize; not easily understood; take longer to interpret</t>
  </si>
  <si>
    <t>2D/3D; amount of words/context/numbers; color variety/shading; distracting/confusing/unclear; easy/hard to interpret; labels/axes/legends; several elements; take longer to interpret; unclear meaning/confusing; word rotation/small font size</t>
  </si>
  <si>
    <t>chart --&gt; whole.visualization [overall] | bars --&gt; mark.bar [data_area] | numbers --&gt; content.number [data_area] | letters --&gt; text.label [axes] | midpoint_values --&gt; content.number [data_area] | labels --&gt; text.label [axes]</t>
  </si>
  <si>
    <t>not_clearly_stated @ chart (whole.visualization) [+] | not_easily_understood @ chart (whole.visualization) [+] | requires_extended_processing_time @ chart (whole.visualization) [+] | confusing_overall_understandability @ chart (whole.visualization) [+] | complicated_to_look_at @ chart (whole.visualization) [+] | multiple_different_bars @ bars (mark.bar) [+] | hard_to_distinguish @ bars (mark.bar) [+] | too_many_numbers @ numbers (content.number) [+] | too_many_letters @ letters (text.label) [+] | values_placed_in_middle @ midpoint_values (content.number) [+]</t>
  </si>
  <si>
    <t>numbers(content.number) --combined_with--&gt; letters(text.label) [+] | midpoint_values(content.number) --embedded_within--&gt; bars(mark.bar) [+] | labels(text.label) --increases_clutter_of--&gt; chart(whole.visualization) [+] | numbers(content.number) --contributes_to_confusion_in--&gt; chart(whole.visualization) [+]</t>
  </si>
  <si>
    <t>InfoVisJ.449.8.png</t>
  </si>
  <si>
    <t>Way more information provided. The images are smaller making it feel more full of stuff which can lead to it feeling confusing and complex to understand. The variety of colors is more than the other image.</t>
  </si>
  <si>
    <t>more detailed/things; much/more data/info/info spread; color variety/arrangement/distribution; unclear meaning/confusing</t>
  </si>
  <si>
    <t>color variety/shading; much/little data/info; unclear meaning/confusing</t>
  </si>
  <si>
    <t>chart --&gt; whole.visualization [overall] | data_elements --&gt; content.data [data_area] | color_encoding --&gt; property.color [data_area]</t>
  </si>
  <si>
    <t>high_information_volume @ chart (whole.visualization) [+] | densely_packed_content @ data_elements (content.data) [+] | variety_of_colors @ color_encoding (property.color) [+] | confusing_and_complex @ chart (whole.visualization) [+]</t>
  </si>
  <si>
    <t>data_elements(content.data) --contributes_to--&gt; chart(whole.visualization) [+] | color_encoding(property.color) --increases_complexity(raw:increases_complexity_of)--&gt; chart(whole.visualization) [+]</t>
  </si>
  <si>
    <t>VASTJ.320.9.png</t>
  </si>
  <si>
    <t>I didn't understand what all the colours represent.</t>
  </si>
  <si>
    <t>unclear color meaning</t>
  </si>
  <si>
    <t>chart --&gt; whole.visualization [overall] | color_encoding --&gt; property.color [data_area]</t>
  </si>
  <si>
    <t>meaning_unclear_to_viewer @ color_encoding (property.color) [+]</t>
  </si>
  <si>
    <t>color_encoding(property.color) --increases_effort(raw:increases_cognitive_load_of)--&gt; chart(whole.visualization) [+]</t>
  </si>
  <si>
    <t>InfoVisJ.935.6.png</t>
  </si>
  <si>
    <t>visMost107.png</t>
  </si>
  <si>
    <t>contrast</t>
  </si>
  <si>
    <t>low color contrast/separation/segmentation</t>
  </si>
  <si>
    <t>high_visual_contrast @ visualization (whole.visualization) [-]</t>
  </si>
  <si>
    <t>InfoVisJ.935.9.png</t>
  </si>
  <si>
    <t>neither is very complex; the other is blank</t>
  </si>
  <si>
    <t>little data/info</t>
  </si>
  <si>
    <t>blank_content @ visualization (whole.visualization) [-]</t>
  </si>
  <si>
    <t>VisC.297.4.png</t>
  </si>
  <si>
    <t>black and white; only one shape (a vertical live) and multiple copies of it. They are also on the same horizontal axis</t>
  </si>
  <si>
    <t>multiple features/elements/graphs; shape; value and graphic alignment; black-to-white/color gradient</t>
  </si>
  <si>
    <t>2D/3D; color variety/shading; more charts/points/lines/shapes/elements; shapes and lines</t>
  </si>
  <si>
    <t>shape --&gt; mark.shape [data_area] | axis --&gt; furniture.axes [axes] | copies --&gt; content.data [data_area] | color_scheme --&gt; property.color [overall]</t>
  </si>
  <si>
    <t>single_shape_type @ shape (mark.shape) [-] | multiple_copies_present @ copies (content.data) [-] | black_and_white_only @ color_scheme (property.color) [-]</t>
  </si>
  <si>
    <t>copies(content.data) --plotted_on--&gt; axis(furniture.axes) [-] | shape(mark.shape) --repeated_along--&gt; axis(furniture.axes) [-]</t>
  </si>
  <si>
    <t>InfoVisJ.963.7.png</t>
  </si>
  <si>
    <t>The right image is simple.</t>
  </si>
  <si>
    <t>simple_overall_design @ visualization (whole.visualization) [-]</t>
  </si>
  <si>
    <t>InfoVisJ.2082.3.png</t>
  </si>
  <si>
    <t>No colors, more factors to consider; This image just appears to have more variables. It appears to have a lot of fine detail with corresponding data that is rather complex.; Both of these images are a bit complex. The chosen one shows way more information at first look â€” the information is divided and there seem to be many elements to consider.; I believe that the image on the right is more complex because it includes more ink on the page, more writing, less color, and it is more organized.; the right side is a simple histogram like figure with labels and it is understandable by readin it; more informative, easy to understand</t>
  </si>
  <si>
    <t>fine/layered details; more charts/points/lines/shapes/elements; more parameters/variables; much/more data/info/info spread; organized/structured; more texts/words; title/axis/label/descriptions; a specific technique; inadequate/few coloring; no color; easy to interpret/read/understand; read/analyze many figures/items</t>
  </si>
  <si>
    <t>2D/3D; amount of words/context/numbers; color variety/shading; domain-specific concepts (e.g., chemical, biology, map); easy/hard to interpret; inadequate/few coloring; labels/axes/legends; more charts/points/lines/shapes/elements; more parameters/variables; much/little data/info; read/analyze many figures/items</t>
  </si>
  <si>
    <t>histogram --&gt; whole.visualization [data_area] | labels --&gt; text.label [axes] | ink_marks --&gt; mark.element [data_area] | text_elements --&gt; text.label [overall] | variables --&gt; content.data [data_area] | color_scheme --&gt; property.color [overall]</t>
  </si>
  <si>
    <t>histogram_like_structure @ histogram (whole.visualization) [-] | organized_layout @ histogram (whole.visualization) [-] | many_elements_present @ histogram (whole.visualization) [+] | labels_aid_understanding @ labels (text.label) [-] | high_ink_density @ ink_marks (mark.element) [+] | fine_detail_present @ ink_marks (mark.element) [+] | more_writing_on_page @ text_elements (text.label) [+] | multiple_variables @ variables (content.data) [+] | more_factors_to_consider @ variables (content.data) [+] | no_colors_used @ color_scheme (property.color) [+] | less_color_variety @ color_scheme (property.color) [+]</t>
  </si>
  <si>
    <t>labels(text.label) --facilitates_interpretation_of--&gt; histogram(whole.visualization) [-] | variables(content.data) --increases_information_volume_in--&gt; histogram(whole.visualization) [+] | ink_marks(mark.element) --contributes_clutter_to--&gt; histogram(whole.visualization) [+] | text_elements(text.label) --adds_cognitive_load_to--&gt; histogram(whole.visualization) [+]</t>
  </si>
  <si>
    <t>SciVisJ.807.5.png</t>
  </si>
  <si>
    <t>Right one is just a simple grid of squares</t>
  </si>
  <si>
    <t>grid --&gt; structure.grid [data_area] | squares --&gt; mark.shape [data_area]</t>
  </si>
  <si>
    <t>arranged_in_grid @ squares (mark.shape) [-]</t>
  </si>
  <si>
    <t>grid(structure.grid) --composed_of--&gt; squares(mark.shape) [-]</t>
  </si>
  <si>
    <t>InfoVisJ.369.3.png</t>
  </si>
  <si>
    <t>density of information, number of colors, number of items on the legend</t>
  </si>
  <si>
    <t>dense/cluttered data/info; number of legend items; distinguishable color variety/arrangement/distribution</t>
  </si>
  <si>
    <t>distinguishable color variety/arrangement/distribution; labels/axes/legends; overlapping shapes/colors/lines</t>
  </si>
  <si>
    <t>chart --&gt; whole.visualization [overall] | legend --&gt; furniture.legend [legend] | color_scheme --&gt; property.color [data_area]</t>
  </si>
  <si>
    <t>low_information_density @ chart (whole.visualization) [-] | few_legend_items @ legend (furniture.legend) [-] | limited_color_count @ color_scheme (property.color) [-]</t>
  </si>
  <si>
    <t>legend(furniture.legend) --reflects_few_colors_in--&gt; color_scheme(property.color) [-] | chart(whole.visualization) --has_low_clutter_due_to--&gt; legend(furniture.legend) [-]</t>
  </si>
  <si>
    <t>SciVisJ.891.2.png</t>
  </si>
  <si>
    <t>Color Variability and Saturation</t>
  </si>
  <si>
    <t>color saturation; color variety/arrangement/distribution</t>
  </si>
  <si>
    <t>high_color_saturation @ color_scheme (property.color) [+] | high_color_variability @ color_scheme (property.color) [+]</t>
  </si>
  <si>
    <t>color_scheme(property.color) --increases_complexity(raw:increases_complexity_of)--&gt; visualization(whole.visualization) [+]</t>
  </si>
  <si>
    <t>VASTJ.120.3(6).png</t>
  </si>
  <si>
    <t>just a colour scale</t>
  </si>
  <si>
    <t>color scale/scheme</t>
  </si>
  <si>
    <t>color_scale --&gt; property.color [legend]</t>
  </si>
  <si>
    <t>adds_visual_complexity @ color_scale (property.color) [+]</t>
  </si>
  <si>
    <t>InfoVisJ.967.6.png</t>
  </si>
  <si>
    <t>Image 1 has no detail.</t>
  </si>
  <si>
    <t>no detail</t>
  </si>
  <si>
    <t>lacks_informational_detail @ visualization (whole.visualization) [+]</t>
  </si>
  <si>
    <t>SciVisJ.857.9.png</t>
  </si>
  <si>
    <t>The processing time chart is not as recognizable, especially at first glance with more numbers and colors. The graph has multiple data points going on. The right chart has a very weird color palette and it threw me off visually â€” it looks more busy and more complex than the map.</t>
  </si>
  <si>
    <t>dense/cluttered layout; multiple features/elements/graphs; more numbers; unfamiliar concepts/patterns; color variety/arrangement/distribution; unclear color meaning</t>
  </si>
  <si>
    <t>amount of words/context/numbers; color contrast/clarity; color variety/shading; domain-specific concepts (e.g., chemical, biology, map); more charts/points/lines/shapes/elements; overlapping shapes/colors/lines</t>
  </si>
  <si>
    <t>data_area --&gt; structure.region [data_area] | data_points --&gt; mark.point [data_area] | numbers --&gt; content.number [axes] | color_palette --&gt; property.color [legend] | chart_layout --&gt; structure.layout [overall]</t>
  </si>
  <si>
    <t>visually_busy_layout @ data_area (structure.region) [+] | multiple_data_points @ data_points (mark.point) [+] | high_number_density @ numbers (content.number) [+] | more_colors_present @ color_palette (property.color) [+] | weird_color_palette @ color_palette (property.color) [+] | not_recognizable_form @ chart_layout (structure.layout) [+]</t>
  </si>
  <si>
    <t>data_points(mark.point) --increases_clutter_in--&gt; data_area(structure.region) [+] | color_palette(property.color) --complicates_interpretation_of--&gt; data_points(mark.point) [+] | numbers(content.number) --adds_cognitive_load_to--&gt; chart_layout(structure.layout) [+]</t>
  </si>
  <si>
    <t>VASTJ.51.8.png</t>
  </si>
  <si>
    <t>3 aspects, color, x-position and y-position is too much variables</t>
  </si>
  <si>
    <t>more parameters/variables; title/axis/label/descriptions</t>
  </si>
  <si>
    <t>labels/axes/legends; more parameters/variables</t>
  </si>
  <si>
    <t>chart --&gt; whole.visualization [overall] | x_axis --&gt; furniture.axes [axes] | y_axis --&gt; furniture.axes [axes] | variables --&gt; content.data [data_area]</t>
  </si>
  <si>
    <t>three_aspects_present @ chart (whole.visualization) [+] | too_many_variables @ variables (content.data) [+] | x_position_encoding @ x_axis (furniture.axes) [+] | y_position_encoding @ y_axis (furniture.axes) [+]</t>
  </si>
  <si>
    <t>x_axis(furniture.axes) --increases_cognitive_load_with--&gt; y_axis(furniture.axes) [+] | variables(content.data) --contributes_to_clutter_in--&gt; chart(whole.visualization) [+]</t>
  </si>
  <si>
    <t>InfoVisJ.2023.3.png</t>
  </si>
  <si>
    <t>It gave information in a technical way.</t>
  </si>
  <si>
    <t>technical encoding</t>
  </si>
  <si>
    <t>technical_presentation_style @ visualization (whole.visualization) [+]</t>
  </si>
  <si>
    <t>visualization(whole.visualization) --requires_specialized_knowledge--&gt; visualization(whole.visualization) [+]</t>
  </si>
  <si>
    <t>InfoVisJ.459.2.png</t>
  </si>
  <si>
    <t>The complexity here is the way the image is shown and the need of focus it requires</t>
  </si>
  <si>
    <t>attention/squinting to understand</t>
  </si>
  <si>
    <t>requires_focused_attention @ visualization (whole.visualization) [+]</t>
  </si>
  <si>
    <t>InfoVisJ.522.15.png</t>
  </si>
  <si>
    <t>appears to have a lot of data points; unclear what the differences are between the four different matrices and snippets; the quadrants appear to provide slightly more detailed information</t>
  </si>
  <si>
    <t>high_quantity_of_points @ data_points (mark.point) [+] | differences_unclear @ chart (whole.visualization) [+]</t>
  </si>
  <si>
    <t>VASTJ.1139.4.png</t>
  </si>
  <si>
    <t>General messier look; More colors; Higher contrast; Less attractive to look at</t>
  </si>
  <si>
    <t>messy/mixed up/noisy/intermingled elements; color variety/arrangement/distribution; distinguishable/full/highly contrast color uses; less attractive</t>
  </si>
  <si>
    <t>color variety/shading; distinguishable/full/highly contrast color uses; distracting/confusing/unclear; overlapping shapes/colors/lines</t>
  </si>
  <si>
    <t>chart --&gt; whole.visualization [overall] | color_scheme --&gt; property.color [data_area] | visual_layout --&gt; structure.layout [overall]</t>
  </si>
  <si>
    <t>messy_arrangement @ visual_layout (structure.layout) [+] | higher_contrast_colors @ color_scheme (property.color) [+] | more_colors_used @ color_scheme (property.color) [+] | less_attractive_appearance @ chart (whole.visualization) [+]</t>
  </si>
  <si>
    <t>color_scheme(property.color) --contributes_to--&gt; visual_layout(structure.layout) [+] | visual_layout(structure.layout) --increases_effort(raw:increases_cognitive_load_of)--&gt; chart(whole.visualization) [+]</t>
  </si>
  <si>
    <t>VASTJ.111.8.png</t>
  </si>
  <si>
    <t>1. axis labelling
2. color differences
3. the grid</t>
  </si>
  <si>
    <t>title/axis/label/descriptions; a specific technique; color variety/arrangement/distribution</t>
  </si>
  <si>
    <t>color variety/shading; domain-specific concepts (e.g., chemical, biology, map); labels/axes/legends</t>
  </si>
  <si>
    <t>axes --&gt; furniture.axes [axes] | color_encoding --&gt; property.color [data_area] | grid --&gt; structure.grid [data_area]</t>
  </si>
  <si>
    <t>complex_axis_labeling @ axes (furniture.axes) [+] | multiple_color_differences @ color_encoding (property.color) [+] | grid_adds_visual_clutter @ grid (structure.grid) [+]</t>
  </si>
  <si>
    <t>grid(structure.grid) --overlaps_with--&gt; color_encoding(property.color) [+] | axes(furniture.axes) --combined_with--&gt; color_encoding(property.color) [+]</t>
  </si>
  <si>
    <t>InfoVisJ.464.11.png</t>
  </si>
  <si>
    <t>Words Amount of subjects</t>
  </si>
  <si>
    <t>too many subjects; word/text/sentence</t>
  </si>
  <si>
    <t>chart --&gt; whole.visualization [overall] | data_subjects --&gt; content.data [data_area] | text_labels --&gt; text.label [data_area]</t>
  </si>
  <si>
    <t>high_subject_count @ data_subjects (content.data) [+] | numerous_words_present @ text_labels (text.label) [+]</t>
  </si>
  <si>
    <t>data_subjects(content.data) --increases_clutter_via--&gt; text_labels(text.label) [+]</t>
  </si>
  <si>
    <t>InfoVisJ.451.5.png</t>
  </si>
  <si>
    <t>more details in terms of information more shapes of different size Thick and thinness</t>
  </si>
  <si>
    <t>line thickness variation; shape size variation</t>
  </si>
  <si>
    <t>lines --&gt; mark.line [data_area] | shapes --&gt; mark.shape [data_area]</t>
  </si>
  <si>
    <t>varying_line_thickness @ lines (mark.line) [+] | multiple_different_sizes @ shapes (mark.shape) [+] | variety_of_shapes @ shapes (mark.shape) [+]</t>
  </si>
  <si>
    <t>lines(mark.line) --increases_clutter_with--&gt; shapes(mark.shape) [+]</t>
  </si>
  <si>
    <t>VASTC.187.3(2).png</t>
  </si>
  <si>
    <t>there is a lot of information to take in</t>
  </si>
  <si>
    <t>information overload</t>
  </si>
  <si>
    <t>overlapping shapes/colors/lines</t>
  </si>
  <si>
    <t>high_information_volume @ visualization (whole.visualization) [+]</t>
  </si>
  <si>
    <t>SciVisJ.1005.12.png</t>
  </si>
  <si>
    <t>more unique contrasts more lines more words smaller details</t>
  </si>
  <si>
    <t>fine/layered details; more charts/points/lines/shapes/elements; more texts/words; more contrast</t>
  </si>
  <si>
    <t>amount of words/context/numbers; color contrast/clarity; more charts/points/lines/shapes/elements; much/little data/info</t>
  </si>
  <si>
    <t>lines --&gt; mark.line [data_area] | text_labels --&gt; text.label [axes] | annotations --&gt; text.annotation [annotation] | color_contrasts --&gt; property.color [overall]</t>
  </si>
  <si>
    <t>high_line_count @ lines (mark.line) [+] | small_fine_details @ lines (mark.line) [+] | numerous_text_elements @ text_labels (text.label) [+] | dense_word_content @ annotations (text.annotation) [+] | multiple_unique_contrasts @ color_contrasts (property.color) [+]</t>
  </si>
  <si>
    <t>lines(mark.line) --increases_clutter_in--&gt; color_contrasts(property.color) [+] | text_labels(text.label) --adds_cognitive_load_with--&gt; annotations(text.annotation) [+] | color_contrasts(property.color) --differentiates--&gt; lines(mark.line) [+]</t>
  </si>
  <si>
    <t>VASTJ.270.11.png</t>
  </si>
  <si>
    <t>much/more data/info/info spread; low color contrast/separation/segmentation</t>
  </si>
  <si>
    <t>high_information_volume @ visualization (whole.visualization) [+] | strong_color_contrast @ color_scheme (property.color) [-]</t>
  </si>
  <si>
    <t>color_scheme(property.color) --reduces_cognitive_load_of--&gt; visualization(whole.visualization) [-]</t>
  </si>
  <si>
    <t>SciVisC.25.4.png</t>
  </si>
  <si>
    <t>More nuances; More details that don't seem to be easily decipherable</t>
  </si>
  <si>
    <t>more detailed/things; more nuance information; hard to interpret/read/understand/differentiate</t>
  </si>
  <si>
    <t>visualization --&gt; whole.visualization [overall] | data_elements --&gt; content.data [data_area] | details --&gt; content.detail [data_area]</t>
  </si>
  <si>
    <t>high_detail_density @ details (content.detail) [+] | nuanced_visual_features @ data_elements (content.data) [+] | not_easily_decipherable @ visualization (whole.visualization) [+]</t>
  </si>
  <si>
    <t>details(content.detail) --increases_effort(raw:increases_cognitive_load_of)--&gt; visualization(whole.visualization) [+] | data_elements(content.data) --adds_nuance_to--&gt; visualization(whole.visualization) [+]</t>
  </si>
  <si>
    <t>VASTC.1.8.png</t>
  </si>
  <si>
    <t>The one on the right has a lot of information, text, boxes and colors</t>
  </si>
  <si>
    <t>much/more data/info/info spread; shapes; word/text/sentence; unclear colormaps</t>
  </si>
  <si>
    <t>amount of words/context/numbers; color contrast/clarity; much/little data/info; shapes and lines</t>
  </si>
  <si>
    <t>chart --&gt; whole.visualization [overall] | text_elements --&gt; text.label [overall] | boxes --&gt; mark.shape [data_area] | colors --&gt; property.color [data_area]</t>
  </si>
  <si>
    <t>high_information_volume @ chart (whole.visualization) [+] | abundant_text_present @ text_elements (text.label) [+] | multiple_boxes_present @ boxes (mark.shape) [+] | multiple_colors_used @ colors (property.color) [+]</t>
  </si>
  <si>
    <t>text_elements(text.label) --increases_clutter_in--&gt; chart(whole.visualization) [+] | boxes(mark.shape) --contributes_to_density_of--&gt; chart(whole.visualization) [+] | colors(property.color) --adds_visual_complexity_to--&gt; boxes(mark.shape) [+]</t>
  </si>
  <si>
    <t>VASTC.123.1.png</t>
  </si>
  <si>
    <t>noisy, white color gives an illusion of a negative space</t>
  </si>
  <si>
    <t>messy/mixed up/noisy/intermingled elements; negative space; white color on black background</t>
  </si>
  <si>
    <t>color variety/shading; overlapping shapes/colors/lines</t>
  </si>
  <si>
    <t>chart --&gt; whole.visualization [overall] | negative_space --&gt; structure.background [data_area] | white_color --&gt; property.color [overall]</t>
  </si>
  <si>
    <t>visually_noisy @ chart (whole.visualization) [+] | creates_depth_illusion @ negative_space (structure.background) [+] | contributes_to_complexity @ white_color (property.color) [+]</t>
  </si>
  <si>
    <t>white_color(property.color) --produces_illusion_of--&gt; negative_space(structure.background) [+] | negative_space(structure.background) --increases_clutter_in--&gt; chart(whole.visualization) [+]</t>
  </si>
  <si>
    <t>SciVisJ.700.11.png</t>
  </si>
  <si>
    <t>multiple shades of blue used; a lot of text</t>
  </si>
  <si>
    <t>amount of words/context/numbers; color shading</t>
  </si>
  <si>
    <t>text_elements --&gt; text.label [overall] | color_shading --&gt; property.color [data_area]</t>
  </si>
  <si>
    <t>high_text_volume @ text_elements (text.label) [+] | multiple_blue_shades @ color_shading (property.color) [+]</t>
  </si>
  <si>
    <t>text_elements(text.label) --increases_effort(raw:increases_cognitive_load_of)--&gt; color_shading(property.color) [+]</t>
  </si>
  <si>
    <t>VASTC.115.2.png</t>
  </si>
  <si>
    <t>more charts/points/lines/shapes/elements; title/axis/label/descriptions; unclear colormaps</t>
  </si>
  <si>
    <t>color contrast/clarity; labels/axes/legends; more charts/points/lines/shapes/elements</t>
  </si>
  <si>
    <t>data_points --&gt; mark.point [data_area] | color_codes --&gt; property.color [legend] | title --&gt; text.title [title]</t>
  </si>
  <si>
    <t>various_data_points @ data_points (mark.point) [+] | multiple_color_codes @ color_codes (property.color) [+] | title_present @ title (text.title) [+]</t>
  </si>
  <si>
    <t>data_points(mark.point) --encoded_by--&gt; color_codes(property.color) [+] | title(text.title) --describes(raw:labels)--&gt; data_points(mark.point) [+]</t>
  </si>
  <si>
    <t>SciVisJ.1005.1.png</t>
  </si>
  <si>
    <t>Too dark Nothing visible to check. No data or indication of what we are checking.</t>
  </si>
  <si>
    <t>no data; nothing visible; unclear coloring</t>
  </si>
  <si>
    <t>color contrast/clarity; distracting/confusing/unclear; much/little data/info</t>
  </si>
  <si>
    <t>visualization --&gt; whole.visualization [overall] | data_content --&gt; content.data [data_area] | background --&gt; structure.background [overall]</t>
  </si>
  <si>
    <t>no_data_present @ data_content (content.data) [+] | nothing_visible @ data_content (content.data) [+] | excessively_dark @ background (structure.background) [+]</t>
  </si>
  <si>
    <t>background(structure.background) --obscures--&gt; data_content(content.data) [+] | visualization(whole.visualization) --lacks_interpretable--&gt; data_content(content.data) [+]</t>
  </si>
  <si>
    <t>VASTC.115.5.png</t>
  </si>
  <si>
    <t>Multiple images, shapes, colours, global, macro</t>
  </si>
  <si>
    <t>multiple features/elements/graphs; multiple points/lines/shapes/elements</t>
  </si>
  <si>
    <t>visualization --&gt; whole.visualization [overall] | image_panels --&gt; whole.visualization [data_area] | shapes --&gt; mark.shape [data_area]</t>
  </si>
  <si>
    <t>multiple_image_panels @ image_panels (whole.visualization) [+] | multiple_shape_types @ shapes (mark.shape) [+]</t>
  </si>
  <si>
    <t>image_panels(whole.visualization) --increases_clutter_in--&gt; visualization(whole.visualization) [+] | shapes(mark.shape) --adds_visual_complexity_to--&gt; visualization(whole.visualization) [+]</t>
  </si>
  <si>
    <t>InfoVisC.173.9.png</t>
  </si>
  <si>
    <t>variety and boldness of colours; Even if I don't understand the image on the right, I still can think it's about hearthquake or something similar. Maybe the fact that there is a title helped a little.</t>
  </si>
  <si>
    <t>little data/info; domain-specific concepts (e.g., chemical, biology, map); color variety/arrangement/distribution</t>
  </si>
  <si>
    <t>color variety/shading; domain-specific concepts (e.g., chemical, biology, map); much/little data/info</t>
  </si>
  <si>
    <t>chart --&gt; whole.visualization [overall] | color_scheme --&gt; property.color [data_area] | data_content --&gt; content.data [data_area] | subject_matter --&gt; content.domain [overall]</t>
  </si>
  <si>
    <t>high_color_variety @ color_scheme (property.color) [+] | bold_color_usage @ color_scheme (property.color) [+] | sparse_data_elements @ data_content (content.data) [-] | familiar_earthquake_topic @ subject_matter (content.domain) [-]</t>
  </si>
  <si>
    <t>color_scheme(property.color) --increases_complexity(raw:increases_complexity_of)--&gt; chart(whole.visualization) [+] | data_content(content.data) --reduces_clutter_in--&gt; chart(whole.visualization) [-] | subject_matter(content.domain) --lowers_cognitive_load_of--&gt; chart(whole.visualization) [-]</t>
  </si>
  <si>
    <t>v490_n7420_13_f4.png</t>
  </si>
  <si>
    <t>Can see the line movement easier, descriptions are eye catching because of color formats.</t>
  </si>
  <si>
    <t>line movement; eye-catching description; unclear colormaps</t>
  </si>
  <si>
    <t>color contrast/clarity; labels/axes/legends; shapes and lines</t>
  </si>
  <si>
    <t>line --&gt; mark.line [data_area] | annotation --&gt; text.annotation [annotation] | color_scheme --&gt; property.color [overall]</t>
  </si>
  <si>
    <t>visible_line_movement @ line (mark.line) [+] | eye_catching_descriptions @ annotation (text.annotation) [+] | varied_color_formats @ color_scheme (property.color) [+]</t>
  </si>
  <si>
    <t>color_scheme(property.color) --draws_attention_to--&gt; line(mark.line) [+] | annotation(text.annotation) --accompanies--&gt; line(mark.line) [+]</t>
  </si>
  <si>
    <t>whoB09_1.png</t>
  </si>
  <si>
    <t>more numbers; seemingly more lines of data; it has more elements, different axes, colors dont carry any meaning</t>
  </si>
  <si>
    <t>more charts/points/lines/shapes/elements; more parameters/variables; amount of words/context/numbers; title/axis/label/descriptions; color variety/arrangement/distribution; unclear meaning/confusing</t>
  </si>
  <si>
    <t>amount of words/context/numbers; color variety/shading; labels/axes/legends; more charts/points/lines/shapes/elements; more parameters/variables; unclear meaning/confusing</t>
  </si>
  <si>
    <t>chart --&gt; whole.visualization [overall] | axes --&gt; furniture.axes [axes] | data_elements --&gt; content.data [data_area] | color_encoding --&gt; property.color [data_area] | axis_labels --&gt; text.axis_label [axes]</t>
  </si>
  <si>
    <t>many_visual_elements @ data_elements (content.data) [+] | lots_of_variables @ data_elements (content.data) [+] | large_numeric_values @ axis_labels (text.axis_label) [+] | colors_carry_no_meaning @ color_encoding (property.color) [+] | multiple_different_colors @ color_encoding (property.color) [+] | multiple_different_axes @ axes (furniture.axes) [+]</t>
  </si>
  <si>
    <t>color_encoding(property.color) --does_not_encode--&gt; data_elements(content.data) [+] | data_elements(content.data) --plotted_across--&gt; axes(furniture.axes) [+] | axis_labels(text.axis_label) --displays_large_numbers_on--&gt; axes(furniture.axes) [+]</t>
  </si>
  <si>
    <t>VisC.199.5.png</t>
  </si>
  <si>
    <t>more easily understood, less time consuming, make sense.</t>
  </si>
  <si>
    <t>easy to interpret/read/understand; more interpretable/readable/understandable</t>
  </si>
  <si>
    <t>visualization --&gt; whole.visualization [overall] | content --&gt; content.data [data_area] | layout --&gt; structure.layout [overall]</t>
  </si>
  <si>
    <t>low_cognitive_effort @ visualization (whole.visualization) [-] | easily_understood @ content (content.data) [-] | less_time_consuming @ layout (structure.layout) [-]</t>
  </si>
  <si>
    <t>content(content.data) --makes_sense_to--&gt; visualization(whole.visualization) [-] | layout(structure.layout) --supports_quick_interpretation_of--&gt; content(content.data) [-]</t>
  </si>
  <si>
    <t>v484_n7393_1_f6.png</t>
  </si>
  <si>
    <t>Confusing to understand the data points if you are not familiar with this graph. The points are very spread out. The color scheme makes it hard on the eyes compared to the one with brown. It was also difficult to understand how to view the information on screen and how it compares.</t>
  </si>
  <si>
    <t>unfamiliar concepts/patterns; color scale/scheme; distracting/confusing/unclear; hard to interpret/read/understand</t>
  </si>
  <si>
    <t>color variety/shading; distracting/confusing/unclear; domain-specific concepts (e.g., chemical, biology, map); easy/hard to interpret</t>
  </si>
  <si>
    <t>chart --&gt; whole.visualization [overall] | data_points --&gt; mark.point [data_area] | color_scheme --&gt; property.color [overall] | legend --&gt; furniture.legend [legend]</t>
  </si>
  <si>
    <t>unfamiliar_chart_type @ chart (whole.visualization) [+] | difficult_to_interpret @ chart (whole.visualization) [+] | confusing_data_encoding @ data_points (mark.point) [+] | hard_to_distinguish_points @ data_points (mark.point) [+] | visually_harsh_colors @ color_scheme (property.color) [+] | eye_straining_palette @ color_scheme (property.color) [+]</t>
  </si>
  <si>
    <t>color_scheme(property.color) --increases_complexity(raw:increases_difficulty_of)--&gt; data_points(mark.point) [+] | data_points(mark.point) --contributes_to_confusion_in--&gt; chart(whole.visualization) [+]</t>
  </si>
  <si>
    <t>whoQ48_6.png</t>
  </si>
  <si>
    <t>the graphic is pretty self explanatory</t>
  </si>
  <si>
    <t>self_explanatory_layout @ visualization (whole.visualization) [-]</t>
  </si>
  <si>
    <t>InfoVisC.103.9.png</t>
  </si>
  <si>
    <t>The spikes on the chart are difficult to follow. The lack of information doesn't provide context to follow</t>
  </si>
  <si>
    <t>hard to focus/follow</t>
  </si>
  <si>
    <t>difficult_to_follow @ visualization (whole.visualization) [+]</t>
  </si>
  <si>
    <t>economist_daily_chart_118.png</t>
  </si>
  <si>
    <t>The tendencies are easy to follow.  more familiarized with this type of charts</t>
  </si>
  <si>
    <t>familiar representation; easy to focus/follow</t>
  </si>
  <si>
    <t>chart --&gt; whole.visualization [overall] | chart_type --&gt; whole.visualization [data_area]</t>
  </si>
  <si>
    <t>easy_to_follow @ chart (whole.visualization) [-] | familiar_chart_format @ chart_type (whole.visualization) [-]</t>
  </si>
  <si>
    <t>chart_type(whole.visualization) --reduces_cognitive_load_of--&gt; chart(whole.visualization) [-]</t>
  </si>
  <si>
    <t>VisC.375.5.png</t>
  </si>
  <si>
    <t>I found them equally difficult. I went with number 1 because although it technically explained which colour meant what, I still don't have a clue on what it is about. In some cases the lines cannot be distinguished either, so I struggled to read it.</t>
  </si>
  <si>
    <t>indistinguishable/unintuitive lines; struggled to read; unclear meaning/confusing</t>
  </si>
  <si>
    <t>easy/hard to interpret; shapes and lines; unclear meaning/confusing</t>
  </si>
  <si>
    <t>lines --&gt; mark.line [data_area] | chart --&gt; whole.visualization [overall] | labels --&gt; text.label [axes]</t>
  </si>
  <si>
    <t>indistinguishable_from_each_other @ lines (mark.line) [+] | difficult_to_read @ chart (whole.visualization) [+] | unclear_subject_matter @ chart (whole.visualization) [+] | insufficient_contextual_cues @ labels (text.label) [+]</t>
  </si>
  <si>
    <t>lines(mark.line) --causes_confusion_in--&gt; chart(whole.visualization) [+] | chart(whole.visualization) --requires_high_effort_to_interpret--&gt; labels(text.label) [+]</t>
  </si>
  <si>
    <t>InfoVisJ.1247.10.png</t>
  </si>
  <si>
    <t>1) It's difficult to understand this diagram compared to the right because Sw &amp; SL are crossing each other; image that is more visually complex contains more elements of information in different formats including text, numbers, mathematical formulae as well as the coloured graphic chart; the plot is particularly non-complex as it is just a line graph, one of the simplest visualisation tools.</t>
  </si>
  <si>
    <t>more charts/points/lines/shapes/elements; overlapping shapes/colors/lines; lack of/not enough axis labels/legend/annotations/context; clear colored bars/charts; hard to interpret/read/understand</t>
  </si>
  <si>
    <t>color variety/shading; easy/hard to interpret; labels/axes/legends; more charts/points/lines/shapes/elements; overlapping shapes/colors/lines</t>
  </si>
  <si>
    <t>diagram --&gt; whole.visualization [overall] | crossing_lines --&gt; mark.line [data_area] | text_labels --&gt; text.label [annotation] | mathematical_formulae --&gt; text.annotation [annotation] | color_encoding --&gt; property.color [data_area]</t>
  </si>
  <si>
    <t>difficult_to_understand @ diagram (whole.visualization) [+] | high_information_density @ diagram (whole.visualization) [+] | lines_crossing_each_other @ crossing_lines (mark.line) [+] | text_and_numbers_present @ text_labels (text.label) [+] | mathematical_formulae_present @ mathematical_formulae (text.annotation) [+] | colored_graphic_chart @ color_encoding (property.color) [+]</t>
  </si>
  <si>
    <t>crossing_lines(mark.line) --increases_clutter_in--&gt; diagram(whole.visualization) [+] | text_labels(text.label) --adds_information_elements_to--&gt; diagram(whole.visualization) [+] | mathematical_formulae(text.annotation) --requires_expertise(raw:requires_domain_knowledge_for)--&gt; diagram(whole.visualization) [+] | color_encoding(property.color) --encodes_data_within--&gt; diagram(whole.visualization) [+]</t>
  </si>
  <si>
    <t>VisJ.1431.7.png</t>
  </si>
  <si>
    <t>just an image to me,  I have no way of knowing what it is showing me; Simply a line of points on a graph with a hump.</t>
  </si>
  <si>
    <t>shape increase/decrease point; unclear meaning/confusing</t>
  </si>
  <si>
    <t>arranged_in_single_line @ data_points (mark.point) [-] | unclear_semantic_meaning @ chart (whole.visualization) [-] | lacks_interpretive_context @ chart (whole.visualization) [-]</t>
  </si>
  <si>
    <t>data_points(mark.point) --fails_to_convey_meaning_in--&gt; chart(whole.visualization) [-]</t>
  </si>
  <si>
    <t>wsj371.png</t>
  </si>
  <si>
    <t>The picture on the left is pretty self-explanatory because there's a title and captions or text that give me the necessary context to understand what it is about.; 1. Move information to process overall; 2. Involves numbers; 3. Involves words/sentences; 4. Involves colors.; It conveys more information and would take me longer to understand what is informing rather than the one on the right. Also, is it using 2lines to describe differences, and there is more variability on the orange one than the right one, therefore would take me longer to get each piece of information.; - choice of colors - size variations; simplicity clarity readability information</t>
  </si>
  <si>
    <t>shape variation; shapes and lines; size variation; -; captions; context; involves numbers; title/axis/label/descriptions; color variety/arrangement/distribution; unclear colormaps; easy to interpret/read/understand; take longer to interpret</t>
  </si>
  <si>
    <t>amount of words/context/numbers; color contrast/clarity; color variety/shading; domain-specific concepts (e.g., chemical, biology, map); easy/hard to interpret; labels/axes/legends; shape variation; shapes and lines; take longer to interpret</t>
  </si>
  <si>
    <t>chart --&gt; whole.visualization [overall] | lines --&gt; mark.line [data_area] | colors --&gt; property.color [data_area] | text_labels --&gt; text.label [data_area] | numbers --&gt; content.number [axes] | captions --&gt; text.description [annotation] | title --&gt; text.title [title]</t>
  </si>
  <si>
    <t>two_lines_present @ lines (mark.line) [+] | more_variability_shown @ lines (mark.line) [+] | multiple_colors_used @ colors (property.color) [+] | color_choice_complex @ colors (property.color) [+] | size_variations_present @ chart (whole.visualization) [+] | involves_words_sentences @ text_labels (text.label) [+] | involves_numbers @ numbers (content.number) [+] | takes_longer_to_understand @ chart (whole.visualization) [+] | provides_necessary_context @ captions (text.description) [-] | captions_aid_comprehension @ captions (text.description) [-] | title_clarifies_content @ title (text.title) [-] | pretty_self_explanatory @ chart (whole.visualization) [-]</t>
  </si>
  <si>
    <t>lines(mark.line) --encodes_differences_via--&gt; colors(property.color) [+] | lines(mark.line) --increases_interpretive_effort--&gt; chart(whole.visualization) [+] | captions(text.description) --simplifies(raw:reduces_complexity_of)--&gt; chart(whole.visualization) [-] | title(text.title) --clarifies(raw:provides_context_for)--&gt; chart(whole.visualization) [-] | text_labels(text.label) --accompanies--&gt; numbers(content.number) [+]</t>
  </si>
  <si>
    <t>economist_daily_chart_521.png</t>
  </si>
  <si>
    <t>This a NASA graph so it's obviously complex. Curves and graphs are always hard to understand for me. It hurts my vision.</t>
  </si>
  <si>
    <t>domain-specific concepts (e.g., chemical, biology, map); distracting/confusing/unclear; hard to interpret/read/understand</t>
  </si>
  <si>
    <t>distracting/confusing/unclear; domain-specific concepts (e.g., chemical, biology, map); easy/hard to interpret</t>
  </si>
  <si>
    <t>chart --&gt; whole.visualization [overall] | data_area --&gt; structure.region [data_area] | visual_encoding --&gt; property.encoding [data_area] | text_labels --&gt; text.label [axes]</t>
  </si>
  <si>
    <t>visually_overwhelming_layout @ chart (whole.visualization) [+] | hard_to_understand @ chart (whole.visualization) [+] | high_visual_clutter @ data_area (structure.region) [+] | nasa_like_complexity @ visual_encoding (property.encoding) [+] | strains_vision @ visual_encoding (property.encoding) [+]</t>
  </si>
  <si>
    <t>data_area(structure.region) --causes_visual_strain_in--&gt; chart(whole.visualization) [+] | visual_encoding(property.encoding) --increases_effort(raw:increases_cognitive_load_of)--&gt; chart(whole.visualization) [+] | text_labels(text.label) --contributes_to_difficulty_of--&gt; chart(whole.visualization) [+]</t>
  </si>
  <si>
    <t>whoQ42_6.png</t>
  </si>
  <si>
    <t>The image I selected feels more visually complex due to the messiness of the graph and the lack of colour diversity. I have a hard time gleaning what it is trying to convey due to the bad design of the graph. This makes it more complex in my head as I need to think harder to get any useful information from it.</t>
  </si>
  <si>
    <t>color variety/arrangement/distribution; distracting/confusing/unclear; looks random/messy/lack structure; hard to interpret/read/understand/differentiate; more thinking</t>
  </si>
  <si>
    <t>color variety/shading; distracting/confusing/unclear; easy/hard to interpret; take longer to interpret</t>
  </si>
  <si>
    <t>graph --&gt; whole.visualization [overall] | color_scheme --&gt; property.color [data_area] | layout --&gt; structure.layout [overall] | data_elements --&gt; content.data [data_area]</t>
  </si>
  <si>
    <t>low_color_diversity @ color_scheme (property.color) [+] | poor_visual_design @ graph (whole.visualization) [+] | messy_disorganized_layout @ layout (structure.layout) [+] | unclear_conveyed_message @ graph (whole.visualization) [+] | requires_extra_cognitive_effort @ data_elements (content.data) [+]</t>
  </si>
  <si>
    <t>color_scheme(property.color) --contributes_to_poor_design_of--&gt; graph(whole.visualization) [+] | layout(structure.layout) --increases_difficulty_interpreting--&gt; data_elements(content.data) [+] | graph(whole.visualization) --makes_harder_to_extract--&gt; data_elements(content.data) [+]</t>
  </si>
  <si>
    <t>v482_n7386_10_f2.png</t>
  </si>
  <si>
    <t>The graph would probably represent measuring an earthquake or similar seismic activity. Simple seismic measurements across time. Most graphs have two axes, which can be seen in the seismic graph.</t>
  </si>
  <si>
    <t>title/axis/label/descriptions; domain-specific concepts (e.g., chemical, biology, map)</t>
  </si>
  <si>
    <t>chart --&gt; whole.visualization [overall] | x_axis --&gt; furniture.axes [axes] | y_axis --&gt; furniture.axes [axes] | seismic_waveform --&gt; mark.line [data_area]</t>
  </si>
  <si>
    <t>seismic_graph_type @ chart (whole.visualization) [-] | earthquake_measurement_context @ chart (whole.visualization) [-] | standard_axis_present @ x_axis (furniture.axes) [-] | standard_axis_present @ y_axis (furniture.axes) [-] | familiar_waveform_encoding @ seismic_waveform (mark.line) [-]</t>
  </si>
  <si>
    <t>x_axis(furniture.axes) --paired_with--&gt; y_axis(furniture.axes) [-] | seismic_waveform(mark.line) --plotted_on--&gt; x_axis(furniture.axes) [-]</t>
  </si>
  <si>
    <t>v484_n7392_1_f4.png</t>
  </si>
  <si>
    <t>Too much information. Plotted points looks complex as well.</t>
  </si>
  <si>
    <t>more charts/points/lines/shapes/elements; too much data/info</t>
  </si>
  <si>
    <t>plotted_points --&gt; mark.point [data_area] | chart --&gt; whole.visualization [overall]</t>
  </si>
  <si>
    <t>high_point_density @ plotted_points (mark.point) [+] | too_much_information @ chart (whole.visualization) [+]</t>
  </si>
  <si>
    <t>plotted_points(mark.point) --contributes_to_clutter_in--&gt; chart(whole.visualization) [+]</t>
  </si>
  <si>
    <t>SciVisJ.1025.10.png</t>
  </si>
  <si>
    <t>I guess it has something to do with familiarity.
The one to the left where it's ranking things.; condensate readability simplicity confusion</t>
  </si>
  <si>
    <t>a specific technique; familiar representation</t>
  </si>
  <si>
    <t>chart --&gt; whole.visualization [overall] | ranking_structure --&gt; structure.hierarchy [data_area]</t>
  </si>
  <si>
    <t>familiar_chart_type @ chart (whole.visualization) [-] | ranked_ordering_present @ ranking_structure (structure.hierarchy) [-]</t>
  </si>
  <si>
    <t>ranking_structure(structure.hierarchy) --reduces_cognitive_load_of--&gt; chart(whole.visualization) [-]</t>
  </si>
  <si>
    <t>v487_n7405_7_f1.png</t>
  </si>
  <si>
    <t>1. Text that I'd need to read
2. Error bars, up and down</t>
  </si>
  <si>
    <t>error bars; readability</t>
  </si>
  <si>
    <t>shapes and lines; word rotation/small font size</t>
  </si>
  <si>
    <t>error_bars --&gt; mark.bar [data_area] | text_labels --&gt; text.label [axes]</t>
  </si>
  <si>
    <t>bidirectional_error_bars @ error_bars (mark.bar) [+] | requires_reading_effort @ text_labels (text.label) [+]</t>
  </si>
  <si>
    <t>error_bars(mark.bar) --adds_visual_clutter_to--&gt; text_labels(text.label) [+]</t>
  </si>
  <si>
    <t>VisC.255.4.png</t>
  </si>
  <si>
    <t>Various lines representing different quantities, circles of varying size, different colors, intersection of lines</t>
  </si>
  <si>
    <t>overlapping shapes/colors/lines; line quantity representation; shape size variation; color variety/arrangement/distribution</t>
  </si>
  <si>
    <t>lines --&gt; mark.line [data_area] | circles --&gt; mark.point [data_area] | color_encoding --&gt; property.color [overall]</t>
  </si>
  <si>
    <t>multiple_lines_intersecting @ lines (mark.line) [+] | represent_different_quantities @ lines (mark.line) [+] | varying_circle_sizes @ circles (mark.point) [+] | different_colors_used @ color_encoding (property.color) [-]</t>
  </si>
  <si>
    <t>lines(mark.line) --intersects_with--&gt; lines(mark.line) [+] | color_encoding(property.color) --differentiates--&gt; lines(mark.line) [-] | circles(mark.point) --co_occurs_with--&gt; lines(mark.line) [+]</t>
  </si>
  <si>
    <t>wsj270.png</t>
  </si>
  <si>
    <t>The left side image shows more information about data and easy to evaluate; The country flags  make it very easy to read the chart at a glance and understand the general data.</t>
  </si>
  <si>
    <t>design-data relationship; domain-specific concepts (e.g., chemical, biology, map); easy to interpret/read/understand</t>
  </si>
  <si>
    <t>design-data relationship; domain-specific concepts (e.g., chemical, biology, map); easy/hard to interpret</t>
  </si>
  <si>
    <t>chart --&gt; whole.visualization [overall] | country_labels --&gt; text.label [axes] | data_values --&gt; content.data [data_area]</t>
  </si>
  <si>
    <t>easy_to_read_glance @ chart (whole.visualization) [-] | easy_to_evaluate @ chart (whole.visualization) [-] | country_related_context @ country_labels (text.label) [-] | provides_more_data_information @ data_values (content.data) [-]</t>
  </si>
  <si>
    <t>country_labels(text.label) --aids_interpretation(raw:aids_interpretation_of)--&gt; chart(whole.visualization) [-] | data_values(content.data) --supports_evaluation_of--&gt; chart(whole.visualization) [-]</t>
  </si>
  <si>
    <t>InfoVisJ.659.6.png</t>
  </si>
  <si>
    <t>The orange although not greatly more complex takes more time to understand</t>
  </si>
  <si>
    <t>requires_extended_interpretation_time @ visualization (whole.visualization) [+]</t>
  </si>
  <si>
    <t>VisC.171.4.png</t>
  </si>
  <si>
    <t>On the left, I don't have any idea of what is the subjetc. There are numbers that I've never seen before like "9e+06" ??; No graph metrics given The numbers do not make sense</t>
  </si>
  <si>
    <t>lack of/not enough axis labels/legend/annotations/context; no measurement/metric/axis; unfamiliar concepts/patterns; unclear meaning/confusing</t>
  </si>
  <si>
    <t>domain-specific concepts (e.g., chemical, biology, map); labels/axes/legends; unclear meaning/confusing</t>
  </si>
  <si>
    <t>numerical_values --&gt; content.number [data_area] | graph_metrics --&gt; whole.visualization [axes] | subject_label --&gt; text.label [title]</t>
  </si>
  <si>
    <t>unfamiliar_numbers_displayed @ numerical_values (content.number) [+] | numbers_lack_meaning @ numerical_values (content.number) [+] | no_graph_metrics_present @ graph_metrics (whole.visualization) [-] | subject_domain_unclear @ subject_label (text.label) [+]</t>
  </si>
  <si>
    <t>numerical_values(content.number) --confounds_interpretation_due_to--&gt; subject_label(text.label) [+] | graph_metrics(whole.visualization) --absent_reducing_clutter_from--&gt; numerical_values(content.number) [-]</t>
  </si>
  <si>
    <t>VASTC.1.12.png</t>
  </si>
  <si>
    <t>1. Harder things to understand on the bottom axis 2. More complex/smaller things to try to make out 3. Harder concept to understand</t>
  </si>
  <si>
    <t>hard_to_understand @ visualization (whole.visualization) [+]</t>
  </si>
  <si>
    <t>VisC.87.8.png</t>
  </si>
  <si>
    <t>few lines; axis scales; lack of/not enough axis labels/legend/annotations/context; no measurement/metric/axis; striped texture</t>
  </si>
  <si>
    <t>labels/axes/legends; shapes and lines; symbols</t>
  </si>
  <si>
    <t>line_chart --&gt; whole.visualization [overall] | data_lines --&gt; mark.line [data_area] | numerical_labels --&gt; text.label [data_area] | axis_labels --&gt; text.axis_label [axes] | striped_pattern --&gt; structure.pattern [data_area]</t>
  </si>
  <si>
    <t>two_separate_lines @ data_lines (mark.line) [-] | numerical_details_present @ numerical_labels (text.label) [-] | precise_axis_naming @ axis_labels (text.axis_label) [-] | x_and_y_scales_present @ axis_labels (text.axis_label) [-] | striped_background_texture @ striped_pattern (structure.pattern) [-]</t>
  </si>
  <si>
    <t>data_lines(mark.line) --annotated_with--&gt; numerical_labels(text.label) [-] | data_lines(mark.line) --plotted_on--&gt; axis_labels(text.axis_label) [-] | striped_pattern(structure.pattern) --contains(raw:underlies)--&gt; data_lines(mark.line) [-]</t>
  </si>
  <si>
    <t>VisJ.1243.3.png</t>
  </si>
  <si>
    <t>The interpretation of graphs, comparing the plots; calculating the exact value; 1) two axes that are scaled by numbers, and 2) there are complicated formulas and symbols</t>
  </si>
  <si>
    <t>exact value; graph; plots; scale difference; readability</t>
  </si>
  <si>
    <t>domain-specific concepts (e.g., chemical, biology, map); scale difference; shapes and lines; word rotation/small font size</t>
  </si>
  <si>
    <t>graph --&gt; whole.visualization [data_area] | plot --&gt; whole.visualization [data_area] | axes --&gt; furniture.axes [axes] | numeric_scale --&gt; furniture.scale [axes] | formula_symbol --&gt; mark.symbol [annotation]</t>
  </si>
  <si>
    <t>multiple_graphs_present @ graph (whole.visualization) [+] | multiple_plots_present @ plot (whole.visualization) [+] | two_axes_present @ axes (furniture.axes) [+] | scaled_by_numbers @ numeric_scale (furniture.scale) [+] | complicated_formulas_symbols @ formula_symbol (mark.symbol) [+] | exact_values_displayed @ plot (whole.visualization) [+]</t>
  </si>
  <si>
    <t>axes(furniture.axes) --labeled_with--&gt; numeric_scale(furniture.scale) [+] | formula_symbol(mark.symbol) --describes(raw:annotates)--&gt; plot(whole.visualization) [+] | graph(whole.visualization) --contains--&gt; plot(whole.visualization) [+]</t>
  </si>
  <si>
    <t>VASTJ.432.7.png</t>
  </si>
  <si>
    <t>the right one is very straight forward therefore has a low level of complexity</t>
  </si>
  <si>
    <t>straightforward_to_interpret @ visualization (whole.visualization) [-]</t>
  </si>
  <si>
    <t>wsj359.png</t>
  </si>
  <si>
    <t>Highlighted image involved more color. Also it involves reading a graph that has points of increase and decrease.; harder to understand</t>
  </si>
  <si>
    <t>shape increase/decrease point; color variety/arrangement/distribution; more difficult to interpret/read/understand/differentiate</t>
  </si>
  <si>
    <t>color variety/shading; easy/hard to interpret; shape increase/decrease point</t>
  </si>
  <si>
    <t>chart --&gt; whole.visualization [overall] | color --&gt; property.color [data_area] | data_points --&gt; mark.point [data_area]</t>
  </si>
  <si>
    <t>multiple_colors_present @ color (property.color) [+] | increase_decrease_points @ data_points (mark.point) [+] | difficult_to_understand @ chart (whole.visualization) [-]</t>
  </si>
  <si>
    <t>color(property.color) --increases_complexity(raw:increases_complexity_of)--&gt; chart(whole.visualization) [+] | data_points(mark.point) --adds_visual_complexity_to--&gt; chart(whole.visualization) [+]</t>
  </si>
  <si>
    <t>VisC.263.7.png</t>
  </si>
  <si>
    <t>Pixeled picture, hard to understand meaning, bad choice of colors.</t>
  </si>
  <si>
    <t>pixeled picture; unclear colors/contrast; hard to interpret/read/understand</t>
  </si>
  <si>
    <t>distracting/confusing/unclear; easy/hard to interpret; unclear colors/contrast</t>
  </si>
  <si>
    <t>visualization --&gt; whole.visualization [overall] | color_scheme --&gt; property.color [data_area] | pixel_elements --&gt; mark.element [data_area]</t>
  </si>
  <si>
    <t>pixelated_appearance @ pixel_elements (mark.element) [+] | poor_color_choices @ color_scheme (property.color) [+] | hard_to_understand @ visualization (whole.visualization) [+]</t>
  </si>
  <si>
    <t>pixel_elements(mark.element) --increases_clutter_in--&gt; visualization(whole.visualization) [+] | color_scheme(property.color) --hinders_reading(raw:hinders_interpretation_of)--&gt; visualization(whole.visualization) [+]</t>
  </si>
  <si>
    <t>whoI19.png</t>
  </si>
  <si>
    <t>has a limited number of countries the data is collected from; it has fewer axes; visually it is easier to understand; anyone with a high school education may be able to understand it.</t>
  </si>
  <si>
    <t>little data/info; fewer axes; domain-specific concepts (e.g., chemical, biology, map); easier to interpret/read/understand</t>
  </si>
  <si>
    <t>2D/3D; domain-specific concepts (e.g., chemical, biology, map); easy/hard to interpret; much/little data/info</t>
  </si>
  <si>
    <t>chart --&gt; whole.visualization [overall] | axes --&gt; furniture.axes [axes] | data_points --&gt; mark.point [data_area] | country_labels --&gt; text.label [data_area] | title_annotation --&gt; text.annotation [title]</t>
  </si>
  <si>
    <t>limited_data_volume @ data_points (mark.point) [-] | fewer_axes_present @ axes (furniture.axes) [-] | multiple_countries_labeled @ country_labels (text.label) [+] | high_school_education_context @ title_annotation (text.annotation) [-] | easier_to_understand @ chart (whole.visualization) [-]</t>
  </si>
  <si>
    <t>axes(furniture.axes) --reduces_clutter_in--&gt; chart(whole.visualization) [-] | country_labels(text.label) --increases_complexity(raw:adds_complexity_to)--&gt; data_points(mark.point) [+] | data_points(mark.point) --supports_easy_interpretation_of--&gt; chart(whole.visualization) [-]</t>
  </si>
  <si>
    <t>InfoVisJ.1655.8.png</t>
  </si>
  <si>
    <t>Evaluation of lines</t>
  </si>
  <si>
    <t>lines</t>
  </si>
  <si>
    <t>lines --&gt; mark.line [data_area]</t>
  </si>
  <si>
    <t>multiple_lines_present @ lines (mark.line) [+]</t>
  </si>
  <si>
    <t>v483_n7387_5_f1.png</t>
  </si>
  <si>
    <t>There are far more details to try and understand with a complex variety of data points. 1. A plethora of datapoints to try and figure out 2. Multiple colours and lines; Multiple different facts presented, more numeric features</t>
  </si>
  <si>
    <t>more charts/points/lines/shapes/elements; much/more data/info/info spread; color variety/arrangement/distribution; take longer to interpret</t>
  </si>
  <si>
    <t>color variety/shading; more charts/points/lines/shapes/elements; much/little data/info; take longer to interpret</t>
  </si>
  <si>
    <t>data_points --&gt; mark.point [data_area] | lines --&gt; mark.line [data_area] | colors --&gt; property.color [data_area] | annotations_or_facts --&gt; text.annotation [annotation]</t>
  </si>
  <si>
    <t>plethora_of_datapoints @ data_points (mark.point) [+] | multiple_lines_present @ lines (mark.line) [+] | multiple_colors_used @ colors (property.color) [+] | multiple_facts_conveyed @ annotations_or_facts (text.annotation) [+] | more_to_understand @ annotations_or_facts (text.annotation) [+]</t>
  </si>
  <si>
    <t>lines(mark.line) --encoded_with--&gt; colors(property.color) [+] | data_points(mark.point) --increases_cognitive_load_via--&gt; annotations_or_facts(text.annotation) [+] | lines(mark.line) --contributes_to_clutter_with--&gt; data_points(mark.point) [+]</t>
  </si>
  <si>
    <t>whoO03.png</t>
  </si>
  <si>
    <t>Smooth lines</t>
  </si>
  <si>
    <t>smooth lines</t>
  </si>
  <si>
    <t>smooth_continuous_curves @ lines (mark.line) [-]</t>
  </si>
  <si>
    <t>VASTC.1.10.png</t>
  </si>
  <si>
    <t>The number of entries in the horizontal bar is very high.</t>
  </si>
  <si>
    <t>many points/lines/shapes/elements</t>
  </si>
  <si>
    <t>chart --&gt; whole.visualization [overall] | data_entries --&gt; content.data [data_area]</t>
  </si>
  <si>
    <t>very_high_entry_count @ data_entries (content.data) [+]</t>
  </si>
  <si>
    <t>data_entries(content.data) --overwhelms--&gt; chart(whole.visualization) [+]</t>
  </si>
  <si>
    <t>v489_n7414_25_f2.png</t>
  </si>
  <si>
    <t>Axes titles - Graph level of detail</t>
  </si>
  <si>
    <t>axes_titles --&gt; furniture.axes [axes]</t>
  </si>
  <si>
    <t>present_axes_titles @ axes_titles (furniture.axes) [+]</t>
  </si>
  <si>
    <t>InfoVisJ.1247.14.png</t>
  </si>
  <si>
    <t>Two different axes and an additional key shown to add extra clutter to the diagram.</t>
  </si>
  <si>
    <t>title/axis/label/descriptions; with legend</t>
  </si>
  <si>
    <t>y_axis_left --&gt; furniture.axes [axes] | y_axis_right --&gt; furniture.axes [axes] | legend_key --&gt; furniture.legend [legend]</t>
  </si>
  <si>
    <t>dual_axis_present @ y_axis_left (furniture.axes) [+] | dual_axis_present @ y_axis_right (furniture.axes) [+] | additional_key_required @ legend_key (furniture.legend) [+]</t>
  </si>
  <si>
    <t>y_axis_left(furniture.axes) --differs_from--&gt; y_axis_right(furniture.axes) [+] | legend_key(furniture.legend) --adds_interpretive_burden_to--&gt; y_axis_left(furniture.axes) [+]</t>
  </si>
  <si>
    <t>VisC.29.16.png</t>
  </si>
  <si>
    <t>nothing is clear.; A simple line graph</t>
  </si>
  <si>
    <t>a specific technique; distracting/confusing/unclear</t>
  </si>
  <si>
    <t>distracting/confusing/unclear; domain-specific concepts (e.g., chemical, biology, map)</t>
  </si>
  <si>
    <t>line_graph --&gt; whole.visualization [overall] | data_lines --&gt; mark.line [data_area]</t>
  </si>
  <si>
    <t>lacks_visual_clarity @ line_graph (whole.visualization) [+] | line_graph_format @ line_graph (whole.visualization) [+] | unclear_encoding @ data_lines (mark.line) [+]</t>
  </si>
  <si>
    <t>data_lines(mark.line) --contributes_to_confusion_in--&gt; line_graph(whole.visualization) [+]</t>
  </si>
  <si>
    <t>InfoVisJ.1022.6.png</t>
  </si>
  <si>
    <t>Table on the right is simple and clear</t>
  </si>
  <si>
    <t>clear indication; simple visual elements; domain-specific concepts (e.g., chemical, biology, map)</t>
  </si>
  <si>
    <t>domain-specific concepts (e.g., chemical, biology, map); simple visual elements; unclear meaning/confusing</t>
  </si>
  <si>
    <t>table --&gt; structure.grid [overall] | layout --&gt; structure.layout [overall]</t>
  </si>
  <si>
    <t>tabular_structure @ table (structure.grid) [-] | clear_organization @ table (structure.grid) [-] | simple_design @ layout (structure.layout) [-]</t>
  </si>
  <si>
    <t>table(structure.grid) --reduces--&gt; layout(structure.layout) [-]</t>
  </si>
  <si>
    <t>v484_n7392_9_f3.png</t>
  </si>
  <si>
    <t>Many different results in the same chart, many numbers and lines of scale.</t>
  </si>
  <si>
    <t>many numbers; more charts/points/lines/shapes/elements</t>
  </si>
  <si>
    <t>chart --&gt; whole.visualization [overall] | data_lines --&gt; mark.line [data_area] | scale_lines --&gt; mark.line [data_area] | numbers --&gt; content.number [axes]</t>
  </si>
  <si>
    <t>many_results_displayed @ chart (whole.visualization) [+] | multiple_data_series @ data_lines (mark.line) [+] | multiple_scale_lines @ scale_lines (mark.line) [+] | many_numeric_labels @ numbers (content.number) [+]</t>
  </si>
  <si>
    <t>data_lines(mark.line) --increases_clutter_in--&gt; chart(whole.visualization) [+] | scale_lines(mark.line) --adds_visual_complexity_to--&gt; chart(whole.visualization) [+] | numbers(content.number) --increases_effort(raw:increases_cognitive_load_of)--&gt; chart(whole.visualization) [+]</t>
  </si>
  <si>
    <t>InfoVisC.8.7.png</t>
  </si>
  <si>
    <t>There were a lot of intersections in the Circle  suggesting that there is a high amount of data to be extracted</t>
  </si>
  <si>
    <t>much/more data/info/info spread; overlapping shapes/colors/lines</t>
  </si>
  <si>
    <t>much/little data/info; overlapping shapes/colors/lines</t>
  </si>
  <si>
    <t>circle --&gt; mark.point [data_area] | data_points --&gt; mark.point [data_area] | intersections --&gt; structure.link [data_area]</t>
  </si>
  <si>
    <t>high_data_volume @ data_points (mark.point) [+] | multiple_crossing_lines @ intersections (structure.link) [+]</t>
  </si>
  <si>
    <t>data_points(mark.point) --creates_clutter_within--&gt; circle(mark.point) [+] | intersections(structure.link) --increases_visual_complexity_in--&gt; circle(mark.point) [+]</t>
  </si>
  <si>
    <t>v483_n7390_1_f2.png</t>
  </si>
  <si>
    <t>high_data_variation @ chart (whole.visualization) [+]</t>
  </si>
  <si>
    <t>visMost92.png</t>
  </si>
  <si>
    <t>the image has more colors, it has text, a grid, and icons (the thunders); Number of levels and levels; misunderstanding of shapes.</t>
  </si>
  <si>
    <t>number of levels; understand/read shapes; word/text/sentence; color variety/arrangement/distribution; icons; shape misunderstanding</t>
  </si>
  <si>
    <t>2D/3D; amount of words/context/numbers; color variety/shading; shapes and lines; symbols; understand/read shapes</t>
  </si>
  <si>
    <t>text --&gt; text.label [overall] | icons --&gt; mark.symbol [data_area] | color_scheme --&gt; property.color [overall] | shapes --&gt; mark.shape [data_area] | hierarchy_levels --&gt; structure.hierarchy [data_area]</t>
  </si>
  <si>
    <t>high_text_volume @ text (text.label) [+] | multiple_icons_present @ icons (mark.symbol) [+] | many_colors_used @ color_scheme (property.color) [+] | ambiguous_shape_encoding @ shapes (mark.shape) [+] | numerous_hierarchy_levels @ hierarchy_levels (structure.hierarchy) [+]</t>
  </si>
  <si>
    <t>icons(mark.symbol) --contributes_to_misreading_of--&gt; shapes(mark.shape) [+] | color_scheme(property.color) --increases_clutter_alongside--&gt; icons(mark.symbol) [+] | hierarchy_levels(structure.hierarchy) --compounds_complexity_with--&gt; text(text.label) [+]</t>
  </si>
  <si>
    <t>InfoVisJ.1677.10.png</t>
  </si>
  <si>
    <t>I find the node-like graph difficult to comprehend and therefore more complex than the other graph. The colour distribution in the first chart appears more complex. The random-looking figure created by the data points in the first chart looks more complex. The lack of reference points such as axes makes the first image look more complex compared with the second chart.</t>
  </si>
  <si>
    <t>v490_n7418_12_f3.png</t>
  </si>
  <si>
    <t>number of points / shapes; complexity in shapes; colour variation; information represented</t>
  </si>
  <si>
    <t>more charts/points/lines/shapes/elements; curves and shapes; color variety/arrangement/distribution</t>
  </si>
  <si>
    <t>color variety/shading; more charts/points/lines/shapes/elements; shapes and lines</t>
  </si>
  <si>
    <t>data_points --&gt; mark.point [data_area] | shapes --&gt; mark.shape [data_area] | color_encoding --&gt; property.color [data_area]</t>
  </si>
  <si>
    <t>high_point_count @ data_points (mark.point) [+] | complex_shape_variety @ shapes (mark.shape) [+] | multiple_color_variations @ color_encoding (property.color) [+]</t>
  </si>
  <si>
    <t>data_points(mark.point) --encoded_with--&gt; shapes(mark.shape) [+] | shapes(mark.shape) --differentiated_by--&gt; color_encoding(property.color) [+] | data_points(mark.point) --increases_clutter_via--&gt; color_encoding(property.color) [+]</t>
  </si>
  <si>
    <t>VisC.61.10(2).png</t>
  </si>
  <si>
    <t>can easily deduce what the chart is trying to tell you</t>
  </si>
  <si>
    <t>easily_deducible_content @ visualization (whole.visualization) [-]</t>
  </si>
  <si>
    <t>VisC.61.10.png</t>
  </si>
  <si>
    <t>connections sometimes feel arbitrary, irregular and hard to understand</t>
  </si>
  <si>
    <t>confusing connection; hard to interpret/read/understand</t>
  </si>
  <si>
    <t>easy/hard to interpret; unclear meaning/confusing</t>
  </si>
  <si>
    <t>connections --&gt; structure.link [data_area] | visualization --&gt; whole.visualization [overall]</t>
  </si>
  <si>
    <t>arbitrary_irregular_links @ connections (structure.link) [+] | hard_to_understand @ visualization (whole.visualization) [+]</t>
  </si>
  <si>
    <t>connections(structure.link) --increases_effort(raw:increases_cognitive_load_of)--&gt; visualization(whole.visualization) [+]</t>
  </si>
  <si>
    <t>vis737.png</t>
  </si>
  <si>
    <t>1. Colors are in the same shade â€” hard to differentiate. 2. No labels on axes â€” not sure what itâ€™s talking about.</t>
  </si>
  <si>
    <t>lack of/not enough axis labels/legend/annotations/context; similar colors; hard to interpret/read/understand/differentiate; unclear meaning/confusing</t>
  </si>
  <si>
    <t>color variety/shading; easy/hard to interpret; labels/axes/legends; unclear meaning/confusing</t>
  </si>
  <si>
    <t>chart --&gt; whole.visualization [overall] | color_scheme --&gt; property.color [data_area] | axes --&gt; furniture.axes [axes] | data_elements --&gt; content.data [data_area]</t>
  </si>
  <si>
    <t>same_shade_colors @ color_scheme (property.color) [+] | no_axis_labels @ axes (furniture.axes) [+] | hard_to_differentiate @ data_elements (content.data) [+] | unclear_subject_matter @ chart (whole.visualization) [+]</t>
  </si>
  <si>
    <t>color_scheme(property.color) --impedes_distinction_of--&gt; data_elements(content.data) [+] | axes(furniture.axes) --lacks(raw:lacks_context_for)--&gt; chart(whole.visualization) [+]</t>
  </si>
  <si>
    <t>VASTJ.1698.5(4).png</t>
  </si>
  <si>
    <t>this image is strange and difficult to analyze that why i found it complex; lines crossing; information depicted more granularly; I don't know how to read this, it's understandable; they were both complex but the depth and intersecting lines of the one one the right made it more complex for me</t>
  </si>
  <si>
    <t>overlapping shapes/colors/lines; 2D/3D; information nuance expressed; intersecting lines; feeling strange; hard to interpret/read/understand; not interpretable/readable/understandable</t>
  </si>
  <si>
    <t>2D/3D; distracting/confusing/unclear; domain-specific concepts (e.g., chemical, biology, map); easy/hard to interpret; overlapping shapes/colors/lines; shapes and lines</t>
  </si>
  <si>
    <t>lines --&gt; mark.line [data_area] | intersections --&gt; structure.link [data_area] | chart --&gt; whole.visualization [overall] | data_encoding --&gt; property.encoding [data_area]</t>
  </si>
  <si>
    <t>crossing_multiple_times @ lines (mark.line) [+] | intersecting_lines_present @ lines (mark.line) [+] | difficult_to_analyze @ chart (whole.visualization) [+] | strange_unfamiliar_form @ chart (whole.visualization) [+] | unknown_how_to_read @ chart (whole.visualization) [+] | granular_information_depth @ data_encoding (property.encoding) [+] | high_depth_of_data @ data_encoding (property.encoding) [+]</t>
  </si>
  <si>
    <t>lines(mark.line) --contributes_to(raw:creates)--&gt; intersections(structure.link) [+] | intersections(structure.link) --increases_clutter_in--&gt; chart(whole.visualization) [+] | data_encoding(property.encoding) --contributes_to_difficulty_of--&gt; chart(whole.visualization) [+]</t>
  </si>
  <si>
    <t>visMost76.png</t>
  </si>
  <si>
    <t>difficult to follow, non familiar layout , overly colourfull; the non highlighted one was also brighter and cleaer in its image</t>
  </si>
  <si>
    <t>clear colors/shapes; unfamiliar concepts/patterns; bright colors; too many colors; hard to focus/follow</t>
  </si>
  <si>
    <t>bright colors; clear colors/shapes; color variety/shading; domain-specific concepts (e.g., chemical, biology, map); easy/hard to interpret</t>
  </si>
  <si>
    <t>chart --&gt; whole.visualization [overall] | color_scheme --&gt; property.color [data_area] | layout --&gt; structure.layout [overall]</t>
  </si>
  <si>
    <t>non_familiar_layout @ layout (structure.layout) [+] | overly_colorful @ color_scheme (property.color) [+] | difficult_to_follow @ chart (whole.visualization) [+] | brighter_colors @ color_scheme (property.color) [-] | clearer_presentation @ chart (whole.visualization) [-]</t>
  </si>
  <si>
    <t>layout(structure.layout) --increases_effort(raw:increases_cognitive_load_of)--&gt; chart(whole.visualization) [+] | color_scheme(property.color) --contributes_to_clutter_in--&gt; chart(whole.visualization) [+]</t>
  </si>
  <si>
    <t>InfoVisJ.339.3.png</t>
  </si>
  <si>
    <t>It has considerably more going on than the other image. More text, colors, connections and information. The arrangement of the data is more complicated because of that, making it take a little bit longer to understand and go through. The colors of the image are strongly contrasting with each other. There's big text and smaller text, as in, titles and descriptions. Honestly, this image is complex but not confusing, it's okay.; I see more links and written information in the second image. There are also more types of information in the one I have selected.; both is understandable, but right one is more complex as it describes a process.; The left image is showing a very clear path to follow</t>
  </si>
  <si>
    <t>much/more data/info/info spread; clear indication; context/text/description; mixed size; more texts/words; title/axis/label/descriptions; a specific technique; distinguishable/full/highly contrast color uses; easy to interpret/read/understand; take longer to interpret</t>
  </si>
  <si>
    <t>amount of words/context/numbers; distinguishable/full/highly contrast color uses; domain-specific concepts (e.g., chemical, biology, map); easy/hard to interpret; labels/axes/legends; much/little data/info; shapes and lines; take longer to interpret; unclear meaning/confusing</t>
  </si>
  <si>
    <t>diagram --&gt; whole.visualization [overall] | connections --&gt; structure.link [data_area] | text_labels --&gt; text.label [data_area] | titles --&gt; text.title [title] | descriptions --&gt; text.description [annotation] | color_scheme --&gt; property.color [overall] | process_path --&gt; structure.link [data_area]</t>
  </si>
  <si>
    <t>multiple_links_present @ connections (structure.link) [+] | high_connection_count @ connections (structure.link) [+] | mixed_text_sizes @ text_labels (text.label) [+] | written_information_dense @ text_labels (text.label) [+] | titles_present @ titles (text.title) [+] | descriptive_annotations_present @ descriptions (text.description) [+] | strongly_contrasting_colors @ color_scheme (property.color) [+] | sequential_process_structure @ process_path (structure.link) [+] | clear_path_to_follow @ process_path (structure.link) [-] | longer_to_understand @ diagram (whole.visualization) [+] | generally_understandable @ diagram (whole.visualization) [-] | multiple_information_types @ diagram (whole.visualization) [+]</t>
  </si>
  <si>
    <t>titles(text.title) --accompanies--&gt; descriptions(text.description) [+] | connections(structure.link) --increases_clutter_in--&gt; diagram(whole.visualization) [+] | process_path(structure.link) --provides_structure_to--&gt; diagram(whole.visualization) [-] | color_scheme(property.color) --differentiates--&gt; connections(structure.link) [+] | text_labels(text.label) --adds_cognitive_load_to--&gt; diagram(whole.visualization) [+]</t>
  </si>
  <si>
    <t>VisC.77.17.png</t>
  </si>
  <si>
    <t>3D will always be more difficult to interpret</t>
  </si>
  <si>
    <t>2D/3D; more difficult to interpret/read/understand/differentiate</t>
  </si>
  <si>
    <t>three_dimensional_structure @ chart (whole.visualization) [+] | difficult_to_interpret @ chart (whole.visualization) [+]</t>
  </si>
  <si>
    <t>data_area(structure.region) --rendered_in--&gt; chart(whole.visualization) [+]</t>
  </si>
  <si>
    <t>InfoVisC.65.6(2).png</t>
  </si>
  <si>
    <t>The one on the right looks like a lot of different bits of data interacting, so it seems more complex and a bit harder to understand.</t>
  </si>
  <si>
    <t>multiple interacting elements; more difficult to interpret/read/understand/differentiate</t>
  </si>
  <si>
    <t>multiple_interacting_data_bits @ data_elements (content.data) [+] | harder_to_understand @ chart (whole.visualization) [+]</t>
  </si>
  <si>
    <t>vis666.png</t>
  </si>
  <si>
    <t>interconnecting lines, different colors, many text boxes, assortment of bigger red boxes</t>
  </si>
  <si>
    <t>more charts/points/lines/shapes/elements; intersecting lines; more text boxes; color variety/arrangement/distribution</t>
  </si>
  <si>
    <t>amount of words/context/numbers; color variety/shading; more charts/points/lines/shapes/elements; shapes and lines</t>
  </si>
  <si>
    <t>red_boxes --&gt; structure.panel [data_area] | interconnecting_lines --&gt; mark.line [data_area] | text_boxes --&gt; text.label [data_area] | colors --&gt; property.color [overall]</t>
  </si>
  <si>
    <t>assortment_of_bigger_boxes @ red_boxes (structure.panel) [+] | red_colored_boxes @ red_boxes (structure.panel) [+] | multiple_interconnecting_lines @ interconnecting_lines (mark.line) [+] | many_text_boxes_present @ text_boxes (text.label) [+] | different_colors_used @ colors (property.color) [-]</t>
  </si>
  <si>
    <t>interconnecting_lines(mark.line) --connects--&gt; text_boxes(text.label) [+] | red_boxes(structure.panel) --clutters--&gt; text_boxes(text.label) [+] | colors(property.color) --differentiates--&gt; text_boxes(text.label) [-]</t>
  </si>
  <si>
    <t>InfoVisC.65.3.png</t>
  </si>
  <si>
    <t>The numbers and lines do not make sense nor do I know the context so they seem to be a bit more complicated which is why I chose that one.</t>
  </si>
  <si>
    <t>indistinguishable/unintuitive lines; lack of/not enough axis labels/legend/annotations/context; no context or reference; more complicated; not interpretable/readable/understandable</t>
  </si>
  <si>
    <t>domain-specific concepts (e.g., chemical, biology, map); easy/hard to interpret; labels/axes/legends; shapes and lines</t>
  </si>
  <si>
    <t>lines --&gt; mark.line [data_area] | numbers --&gt; content.number [axes] | chart --&gt; whole.visualization [overall]</t>
  </si>
  <si>
    <t>visually_confusing_lines @ lines (mark.line) [+] | incomprehensible_numeric_values @ numbers (content.number) [+] | lacks_contextual_information @ chart (whole.visualization) [+] | overall_more_complicated @ chart (whole.visualization) [+] | elements_do_not_make_sense @ chart (whole.visualization) [+]</t>
  </si>
  <si>
    <t>lines(mark.line) --contributes_to_confusion_in--&gt; chart(whole.visualization) [+] | numbers(content.number) --increases_effort(raw:increases_cognitive_load_of)--&gt; chart(whole.visualization) [+]</t>
  </si>
  <si>
    <t>VisC.11.12(2).png</t>
  </si>
  <si>
    <t>In the orange highlighted image, there are a multitude of paths or routes between different points. These paths overlap, intersect, diverge, creating a visually intricate network The crossing and overlapping of the lines make it challenging to distinguish between individual routes or connections, requiring careful examination and interpretation to unravel the underlying structure of the network. It contain layered information, with different sets of lines representing various types of relationships or networks It makes it difficult to focus on the image for long; More intersecting lines, vast interpretations, less writing</t>
  </si>
  <si>
    <t>overlapping shapes/colors/lines; network representation; little/less text/numbers/context; hard to compare/discern/distinguish; hard to focus/follow; more reading/interpretation/understanding; multiple interpretation</t>
  </si>
  <si>
    <t>domain-specific concepts (e.g., chemical, biology, map); easy/hard to interpret; little/less text/numbers/context; overlapping shapes/colors/lines; take longer to interpret</t>
  </si>
  <si>
    <t>lines --&gt; mark.line [data_area] | network --&gt; structure.link [data_area] | paths --&gt; structure.link [data_area] | text_labels --&gt; text.label [axes]</t>
  </si>
  <si>
    <t>intersecting_and_crossing @ lines (mark.line) [+] | overlapping_lines @ lines (mark.line) [+] | visually_intricate_network @ network (structure.link) [+] | challenging_to_distinguish @ network (structure.link) [+] | multitude_of_routes @ paths (structure.link) [+] | paths_diverge_and_overlap @ paths (structure.link) [+] | less_writing_present @ text_labels (text.label) [+] | vast_interpretations_possible @ network (structure.link) [+] | difficult_to_focus_long @ network (structure.link) [+]</t>
  </si>
  <si>
    <t>lines(mark.line) --contributes_to(raw:creates)--&gt; network(structure.link) [+] | paths(structure.link) --intersect_and_diverge_within--&gt; network(structure.link) [+] | network(structure.link) --requires_careful_examination_of--&gt; paths(structure.link) [+] | lines(mark.line) --overlap_making_hard_to_read--&gt; text_labels(text.label) [+]</t>
  </si>
  <si>
    <t>SciVisJ.896.3.png</t>
  </si>
  <si>
    <t>There are too many colors and it's not clear what they mean.</t>
  </si>
  <si>
    <t>unclear meaning; too many colors</t>
  </si>
  <si>
    <t>color_scheme --&gt; property.color [overall] | legend --&gt; furniture.legend [legend]</t>
  </si>
  <si>
    <t>too_many_colors @ color_scheme (property.color) [+] | unclear_meaning @ legend (furniture.legend) [+]</t>
  </si>
  <si>
    <t>color_scheme(property.color) --increases_cognitive_load_due_to--&gt; legend(furniture.legend) [+]</t>
  </si>
  <si>
    <t>InfoVisJ.2709.1.png</t>
  </si>
  <si>
    <t>left one is a mess. Left one has more different types of info. (picture, graph, words etc)</t>
  </si>
  <si>
    <t>messy/mixed up/noisy/intermingled elements; much/more data/info/info spread; word/text/sentence; looks random/messy/lack structure</t>
  </si>
  <si>
    <t>amount of words/context/numbers; distracting/confusing/unclear; much/little data/info; overlapping shapes/colors/lines</t>
  </si>
  <si>
    <t>left_chart --&gt; whole.visualization [data_area] | right_chart --&gt; whole.visualization [data_area] | text_labels --&gt; text.label [axes] | data_types --&gt; content.data [overall]</t>
  </si>
  <si>
    <t>visually_messy_layout @ left_chart (whole.visualization) [+] | cluttered_and_disordered @ left_chart (whole.visualization) [+] | words_aid_readability @ text_labels (text.label) [-] | multiple_info_types @ data_types (content.data) [+]</t>
  </si>
  <si>
    <t>left_chart(whole.visualization) --is_messier_than--&gt; right_chart(whole.visualization) [+] | data_types(content.data) --increases_complexity(raw:increases_complexity_of)--&gt; left_chart(whole.visualization) [+]</t>
  </si>
  <si>
    <t>InfoVisC.27.6.png</t>
  </si>
  <si>
    <t>contains more information mix several colors the layout of the image</t>
  </si>
  <si>
    <t>image layout; color variety/arrangement/distribution</t>
  </si>
  <si>
    <t>2D/3D; color variety/shading</t>
  </si>
  <si>
    <t>multiple_colors_mixed @ color_scheme (property.color) [+] | complex_spatial_arrangement @ layout (structure.layout) [+]</t>
  </si>
  <si>
    <t>color_scheme(property.color) --increases_clutter_in--&gt; chart(whole.visualization) [+] | layout(structure.layout) --contributes_to_cognitive_load_of--&gt; chart(whole.visualization) [+]</t>
  </si>
  <si>
    <t>visMost38.png</t>
  </si>
  <si>
    <t>seemed very complex with overlapping lines - showing lots of information</t>
  </si>
  <si>
    <t>lots_of_information @ chart (whole.visualization) [+] | overlapping_lines_present @ lines (mark.line) [+]</t>
  </si>
  <si>
    <t>lines(mark.line) --contributes_to_clutter_in--&gt; chart(whole.visualization) [+]</t>
  </si>
  <si>
    <t>SciVisJ.1290.8.png</t>
  </si>
  <si>
    <t>I don't understand what the labels mean. What do the colors represent? Are they chemicals?</t>
  </si>
  <si>
    <t>label meaning; domain-specific concepts (e.g., chemical, biology, map); unclear color meaning</t>
  </si>
  <si>
    <t>labels --&gt; text.label [axes] | color_encoding --&gt; property.color [legend] | chemical_data --&gt; content.data [data_area]</t>
  </si>
  <si>
    <t>ambiguous_label_meaning @ labels (text.label) [+] | unclear_color_representation @ color_encoding (property.color) [+] | domain_specific_chemicals @ chemical_data (content.data) [+]</t>
  </si>
  <si>
    <t>chemical_data(content.data) --requires_interpretation_of--&gt; labels(text.label) [+] | chemical_data(content.data) --encoded_by--&gt; color_encoding(property.color) [+]</t>
  </si>
  <si>
    <t>InfoVisJ.2466.7.png</t>
  </si>
  <si>
    <t>The chosen image is more complex because overall it looks messy. The letters and tittles are so small you can not read them. Too many titles and small arrows.</t>
  </si>
  <si>
    <t>hard to interpret/read/understand/differentiate</t>
  </si>
  <si>
    <t>illegible_unreadable_text @ text_labels (text.label) [+]</t>
  </si>
  <si>
    <t>VASTC.1.7.png</t>
  </si>
  <si>
    <t>No details color code Growth pattern; 1 - Abundance of individual objects 2 - Variation in Colours 3 - Number of vertical lines 4 - Contrasting patterns; Imaging seemed more arbitrary and complex in the orange one; the details in the orange one are finer and more intricate.; all of the dots seem like there more going on hard to make out what it means each box is significantly different; number of dots, color of dots; All of the dots make it seem like there's more going on; hard to make out what it means; each box is significantly different; clear color difference; i really dont understand that graphic. They look like stages of a process but it is not clear to me. intuitively I do not see it.; I have no experience with 'Wavelet Coefficients', therefore the coloured dots don't mean anything to me and is impossible to interpret; The way of connecting to its surroundings feels confusing and even though I somewhat understand it, it has created me confusion before; its more complex, at least for the viewer, as you first need to understand what each picture or image inside the columns tell you.</t>
  </si>
  <si>
    <t>fine/layered details; little data/info; more charts/points/lines/shapes/elements; more detailed/things; confusing connection; number of vertical lines; shape size variation; shapes and lines; a specific technique; domain-specific concepts (e.g., chemical, biology, map); familiar representation; clear color uses; color variety/arrangement/distribution; low color contrast/separation/segmentation; unclear colormaps; arbitrary imaging; distracting/confusing/unclear; hard to interpret/read/understand; hard to interpret/read/understand/differentiate; more complicated; not interpretable/readable/understandable; unclear meaning/confusing</t>
  </si>
  <si>
    <t>color contrast/clarity; color variety/shading; distinguishable/full/highly contrast color uses; distracting/confusing/unclear; domain-specific concepts (e.g., chemical, biology, map); easy/hard to interpret; more charts/points/lines/shapes/elements; much/little data/info; shapes and lines; unclear meaning/confusing</t>
  </si>
  <si>
    <t>dots --&gt; mark.point [data_area] | vertical_lines --&gt; mark.line [data_area] | boxes --&gt; mark.shape [data_area] | color_code --&gt; furniture.legend [legend] | patterns --&gt; structure.pattern [data_area] | wavelet_coefficients --&gt; content.data [overall]</t>
  </si>
  <si>
    <t>high_dot_count @ dots (mark.point) [+] | varied_dot_colors @ dots (mark.point) [+] | dots_present @ dots (mark.point) [-] | numerous_vertical_lines @ vertical_lines (mark.line) [+] | each_box_significantly_different @ boxes (mark.shape) [+] | finer_intricate_details @ boxes (mark.shape) [+] | clear_color_difference @ color_code (furniture.legend) [-] | color_variation_present @ color_code (furniture.legend) [+] | contrasting_patterns @ patterns (structure.pattern) [+] | growth_pattern_implied @ patterns (structure.pattern) [+] | domain_specific_terminology @ wavelet_coefficients (content.data) [+] | impossible_to_interpret @ wavelet_coefficients (content.data) [+] | imaging_seems_arbitrary @ wavelet_coefficients (content.data) [+]</t>
  </si>
  <si>
    <t>dots(mark.point) --contributes_to_abundance_of--&gt; boxes(mark.shape) [+] | color_code(furniture.legend) --fails_to_clarify--&gt; wavelet_coefficients(content.data) [+] | patterns(structure.pattern) --increases_confusion_in--&gt; boxes(mark.shape) [+] | boxes(mark.shape) --represents_stages_of--&gt; wavelet_coefficients(content.data) [+] | vertical_lines(mark.line) --adds_clutter_to--&gt; boxes(mark.shape) [+]</t>
  </si>
  <si>
    <t>InfoVisC.65.4.png</t>
  </si>
  <si>
    <t>Small arrows make things hard to read so it become more complex</t>
  </si>
  <si>
    <t>shapes and lines; hard to interpret/read/understand/differentiate</t>
  </si>
  <si>
    <t>easy/hard to interpret; shapes and lines</t>
  </si>
  <si>
    <t>arrows --&gt; mark.symbol [data_area] | chart --&gt; whole.visualization [overall]</t>
  </si>
  <si>
    <t>small_size @ arrows (mark.symbol) [+] | difficult_to_read @ arrows (mark.symbol) [+] | hard_to_interpret @ chart (whole.visualization) [+]</t>
  </si>
  <si>
    <t>arrows(mark.symbol) --increases_clutter_in--&gt; chart(whole.visualization) [+]</t>
  </si>
  <si>
    <t>InfoVisJ.349.1(2).png</t>
  </si>
  <si>
    <t>The other choice was more logical to read and was in black and white.</t>
  </si>
  <si>
    <t>black-to-white/color gradient; intuitive</t>
  </si>
  <si>
    <t>chart --&gt; whole.visualization [overall] | color_scheme --&gt; property.color [overall]</t>
  </si>
  <si>
    <t>black_and_white_only @ color_scheme (property.color) [-] | logical_to_read @ chart (whole.visualization) [-]</t>
  </si>
  <si>
    <t>color_scheme(property.color) --simplifies(raw:reduces_complexity_of)--&gt; chart(whole.visualization) [-]</t>
  </si>
  <si>
    <t>VASTJ.1139.3(2).png</t>
  </si>
  <si>
    <t>The image on the left only has a few lines; The left one has less elements; clearer : there is a start and end that are easy to identify (you just have to follow the lines). It seems that there is less information (elements) to process in the second picture.; Simple colored dots and lines on a grid; structured and labeled plot; contains curves and different points but follows a discernible pattern; flat with two-dimensional geometric shapes.</t>
  </si>
  <si>
    <t>few points/lines/shapes/elements; little data/info; curves and shapes; shape variety; shapes and lines; title/axis/label/descriptions; familiar representation; lack of color contrast / hard to distinguish colors; easy to interpret/read/understand</t>
  </si>
  <si>
    <t>color contrast/clarity; domain-specific concepts (e.g., chemical, biology, map); easy/hard to interpret; labels/axes/legends; more charts/points/lines/shapes/elements; much/little data/info; shapes and lines</t>
  </si>
  <si>
    <t>grid --&gt; structure.grid [data_area] | lines --&gt; mark.line [data_area] | dots --&gt; mark.point [data_area] | geometric_shapes --&gt; mark.shape [data_area] | labels --&gt; text.label [axes] | color --&gt; property.color [overall]</t>
  </si>
  <si>
    <t>structured_layout @ grid (structure.grid) [-] | few_lines_present @ lines (mark.line) [-] | sparse_dot_count @ dots (mark.point) [-] | 2d_geometric_forms @ geometric_shapes (mark.shape) [-] | discernible_pattern @ geometric_shapes (mark.shape) [-] | structured_and_labeled @ labels (text.label) [-] | simple_coloring @ color (property.color) [-] | less_elements_overall @ grid (structure.grid) [-]</t>
  </si>
  <si>
    <t>lines(mark.line) --plotted_on--&gt; grid(structure.grid) [-] | dots(mark.point) --plotted_on--&gt; grid(structure.grid) [-] | geometric_shapes(mark.shape) --reduces--&gt; color(property.color) [-] | labels(text.label) --aids_interpretation(raw:aids_interpretation_of)--&gt; grid(structure.grid) [-] | lines(mark.line) --follows_pattern_with--&gt; dots(mark.point) [-]</t>
  </si>
  <si>
    <t>VisC.383.7.png</t>
  </si>
  <si>
    <t>It was hard to decide between the 2 images, as both are very complex but, the image chosen contained a darker/denser area and also showed a receeding horizon point. I was more drawn to its pattern.</t>
  </si>
  <si>
    <t>2D/3D; familiar representation; unclear coloring</t>
  </si>
  <si>
    <t>dense_region --&gt; structure.region [data_area] | pattern --&gt; structure.pattern [data_area] | horizon_point --&gt; mark.point [data_area]</t>
  </si>
  <si>
    <t>darker_denser_area @ dense_region (structure.region) [+] | visible_repeating_pattern @ pattern (structure.pattern) [+] | receding_perspective_point @ horizon_point (mark.point) [+]</t>
  </si>
  <si>
    <t>dense_region(structure.region) --contributes_to--&gt; pattern(structure.pattern) [+] | horizon_point(mark.point) --creates_depth_in--&gt; pattern(structure.pattern) [+]</t>
  </si>
  <si>
    <t>InfoVisC.65.4(2).png</t>
  </si>
  <si>
    <t>Because al the dots were related to one, like a water fall but I didn't know why</t>
  </si>
  <si>
    <t>understand/read shapes; waterfall-like</t>
  </si>
  <si>
    <t>domain-specific concepts (e.g., chemical, biology, map); understand/read shapes</t>
  </si>
  <si>
    <t>dots --&gt; mark.point [data_area] | waterfall_pattern --&gt; structure.pattern [data_area]</t>
  </si>
  <si>
    <t>all_dots_interconnected @ dots (mark.point) [+] | cascading_visual_flow @ waterfall_pattern (structure.pattern) [+]</t>
  </si>
  <si>
    <t>dots(mark.point) --represents(raw:forms)--&gt; waterfall_pattern(structure.pattern) [+]</t>
  </si>
  <si>
    <t>VASTJ.200.8.png</t>
  </si>
  <si>
    <t>It is more difficult to follow the lines. There is no color guide and the names are too small to read. Also there is no order.</t>
  </si>
  <si>
    <t>less organized elements; lines; word rotation/small font size; unclear color meaning; more difficult to focus/follow</t>
  </si>
  <si>
    <t>color contrast/clarity; less organized elements; more difficult to focus/follow; shapes and lines; word rotation/small font size</t>
  </si>
  <si>
    <t>lines --&gt; mark.line [data_area] | labels --&gt; text.label [data_area] | legend --&gt; furniture.legend [legend] | layout --&gt; structure.layout [overall]</t>
  </si>
  <si>
    <t>multiple_lines_present @ lines (mark.line) [+] | difficult_to_follow @ lines (mark.line) [+] | names_too_small_to_read @ labels (text.label) [+] | no_color_guide_present @ legend (furniture.legend) [+] | no_ordering_structure @ layout (structure.layout) [+]</t>
  </si>
  <si>
    <t>legend(furniture.legend) --absent_making_harder_to_decode--&gt; lines(mark.line) [+] | layout(structure.layout) --increases_difficulty_tracing--&gt; lines(mark.line) [+] | labels(text.label) --too_small_to_identify--&gt; lines(mark.line) [+]</t>
  </si>
  <si>
    <t>InfoVisJ.401.12.png</t>
  </si>
  <si>
    <t>More elements; the chosen image seems like there is a cluster of information that needs to be seen slowly one by one. It feels like the chosen visualization comes from a more scientific method than just showing information in text. Some kind of extra information would be needed to understand what these networks mean.</t>
  </si>
  <si>
    <t>clustered data/info; more charts/points/lines/shapes/elements; clear text/scale/information; a specific technique; domain-specific concepts (e.g., chemical, biology, map)</t>
  </si>
  <si>
    <t>clear text/scale/information; domain-specific concepts (e.g., chemical, biology, map); more charts/points/lines/shapes/elements; much/little data/info</t>
  </si>
  <si>
    <t>network --&gt; structure.link [data_area] | text_labels --&gt; text.label [data_area] | cluster --&gt; structure.region [data_area] | nodes --&gt; mark.node [data_area] | edges --&gt; structure.link [data_area]</t>
  </si>
  <si>
    <t>network_structure_present @ network (structure.link) [+] | requires_domain_knowledge @ network (structure.link) [+] | information_shown_in_text @ text_labels (text.label) [+] | high_text_density @ text_labels (text.label) [+] | dense_cluster_of_elements @ cluster (structure.region) [+] | many_nodes_present @ nodes (mark.node) [+] | multiple_connecting_edges @ edges (structure.link) [+]</t>
  </si>
  <si>
    <t>cluster(structure.region) --increases_visual_clutter--&gt; network(structure.link) [+] | text_labels(text.label) --adds_cognitive_load_to--&gt; network(structure.link) [+] | nodes(mark.node) --connected_by--&gt; edges(structure.link) [+] | network(structure.link) --requires_scientific_interpretation--&gt; cluster(structure.region) [+]</t>
  </si>
  <si>
    <t>InfoVisJ.339.10.png</t>
  </si>
  <si>
    <t>There were visually more details in the pictures I chose; Excessive Data Points: When a chart contains too many data points, it can overwhelm the viewer and make it difficult to discern meaningful patterns or trends. Cluttered Labels and Annotations: If labels, titles, and annotations are excessively crowded or overlapping, it can make it challenging to identify specific elements within the chart. Poor Color Choices: Using too many colors or poorly contrasting colors can make it difficult to differentiate between different data series or categories. Data Overload: Including too much data in a single chart or diagram can make it difficult to focus on the most important information and can obscure key insights.; there are more information shown - you need more time to understand what this chart shows - you need time to understand what this chart even stands for; there are numbers, sticks and boxes and we don't know what is the distribution of numbers and what is the ratio between them; Ã§izilen Ã§izgilerin keskin renge sahip olmamasÄ±</t>
  </si>
  <si>
    <t>much/more data/info/info spread; numbers and shapes; number distribution; text ratio; texture details; take longer to interpret</t>
  </si>
  <si>
    <t>2D/3D; amount of words/context/numbers; much/little data/info; symbols; take longer to interpret</t>
  </si>
  <si>
    <t>boxes --&gt; mark.shape [data_area] | sticks --&gt; mark.bar [data_area] | numbers --&gt; content.number [data_area] | distribution --&gt; content.data [data_area] | ratio --&gt; content.number [data_area]</t>
  </si>
  <si>
    <t>multiple_box_elements @ boxes (mark.shape) [+] | multiple_stick_elements @ sticks (mark.bar) [+] | distributed_numeric_labels @ numbers (content.number) [+] | spread_of_values_shown @ distribution (content.data) [+] | ratio_information_present @ ratio (content.number) [+] | visually_more_details @ boxes (mark.shape) [+] | more_time_to_understand @ numbers (content.number) [+]</t>
  </si>
  <si>
    <t>sticks(mark.bar) --combined_with--&gt; boxes(mark.shape) [+] | numbers(content.number) --describes(raw:annotates)--&gt; boxes(mark.shape) [+] | distribution(content.data) --increases_information_in--&gt; boxes(mark.shape) [+] | ratio(content.number) --adds_cognitive_load_to--&gt; numbers(content.number) [+]</t>
  </si>
  <si>
    <t>VASTJ.1448.5.png</t>
  </si>
  <si>
    <t>Num of objects/words, how objects spread over the whole picture</t>
  </si>
  <si>
    <t>more charts/points/lines/shapes/elements; much/more data/info/info spread; word/text/sentence</t>
  </si>
  <si>
    <t>amount of words/context/numbers; more charts/points/lines/shapes/elements; much/little data/info</t>
  </si>
  <si>
    <t>words --&gt; text.label [data_area] | layout --&gt; structure.layout [overall]</t>
  </si>
  <si>
    <t>few_words_present @ words (text.label) [-] | low_object_count @ words (text.label) [-] | spread_out_distribution @ layout (structure.layout) [-]</t>
  </si>
  <si>
    <t>words(text.label) --spread_across--&gt; layout(structure.layout) [-]</t>
  </si>
  <si>
    <t>vis796.png</t>
  </si>
  <si>
    <t>Can't tell what the graph is trying to say, too many lines and similar colors</t>
  </si>
  <si>
    <t>more charts/points/lines/shapes/elements; lack of color contrast / hard to distinguish colors; hard to interpret/read/understand/differentiate</t>
  </si>
  <si>
    <t>color contrast/clarity; easy/hard to interpret; more charts/points/lines/shapes/elements</t>
  </si>
  <si>
    <t>lines --&gt; mark.line [data_area] | color_encoding --&gt; property.color [legend] | chart --&gt; whole.visualization [overall]</t>
  </si>
  <si>
    <t>excessive_line_count @ lines (mark.line) [+] | visually_cluttered_overlap @ lines (mark.line) [+] | similar_colors_used @ color_encoding (property.color) [+] | low_color_distinguishability @ color_encoding (property.color) [+] | unclear_message @ chart (whole.visualization) [+]</t>
  </si>
  <si>
    <t>lines(mark.line) --obscured_by--&gt; color_encoding(property.color) [+] | lines(mark.line) --contributes_to_confusion_in--&gt; chart(whole.visualization) [+]</t>
  </si>
  <si>
    <t>InfoVisC.103.4.png</t>
  </si>
  <si>
    <t>Easy to understand, comfortable for the eyes; informative</t>
  </si>
  <si>
    <t>easy_to_understand @ visualization (whole.visualization) [-] | comfortable_visual_appearance @ visualization (whole.visualization) [-]</t>
  </si>
  <si>
    <t>VASTJ.111.5.png</t>
  </si>
  <si>
    <t>Visual clarity Information gets mixed with other information points At first sight I don't understand the chart</t>
  </si>
  <si>
    <t>shape point of interest; not interpretable/readable/understandable</t>
  </si>
  <si>
    <t>easy/hard to interpret; shape point of interest</t>
  </si>
  <si>
    <t>multiple_information_points @ data_points (mark.point) [+] | difficult_to_interpret @ chart (whole.visualization) [+]</t>
  </si>
  <si>
    <t>data_points(mark.point) --increases_effort(raw:increases_cognitive_load_of)--&gt; chart(whole.visualization) [+]</t>
  </si>
  <si>
    <t>InfoVisJ.349.8(4).png</t>
  </si>
  <si>
    <t>overall visually complexed. No data entry for the chosen one hard to understand that what is defined in the picture.</t>
  </si>
  <si>
    <t>little data/info; hard to interpret/read/understand</t>
  </si>
  <si>
    <t>no_data_present @ data_area (structure.region) [+] | hard_to_understand @ chart (whole.visualization) [+]</t>
  </si>
  <si>
    <t>data_area(structure.region) --contributes_to--&gt; chart(whole.visualization) [+]</t>
  </si>
  <si>
    <t>np_11.png</t>
  </si>
  <si>
    <t>There is a lot of information to understand, there information is divided in more group, there are multiple area of interests; Multiple elements, includes text and image, in different sizes, and different colours, lots of information; Num of objects/words, how objects spread over the whole picture; too many things; Sports; The one to the right where I know they are talking about the total value of Forbes 50 most valuable sports team in 20112.</t>
  </si>
  <si>
    <t>many points/lines/shapes/elements; more charts/points/lines/shapes/elements; more detailed/things; much/more data/info/info spread; multiple features/elements/graphs; element sizes; word/text/sentence; domain-specific concepts (e.g., chemical, biology, map); color variety/arrangement/distribution</t>
  </si>
  <si>
    <t>amount of words/context/numbers; color variety/shading; domain-specific concepts (e.g., chemical, biology, map); more charts/points/lines/shapes/elements; much/little data/info; shapes and lines</t>
  </si>
  <si>
    <t>chart --&gt; whole.visualization [overall] | text_labels --&gt; text.label [data_area] | data_elements --&gt; content.data [data_area] | groups --&gt; content.category [data_area] | colors --&gt; property.color [data_area]</t>
  </si>
  <si>
    <t>too_many_elements @ chart (whole.visualization) [+] | lots_of_information @ chart (whole.visualization) [+] | multiple_areas_of_interest @ chart (whole.visualization) [+] | forbes_companies_context @ chart (whole.visualization) [-] | sports_team_context @ chart (whole.visualization) [-] | high_word_count @ text_labels (text.label) [+] | words_present @ text_labels (text.label) [-] | different_sizes @ data_elements (content.data) [+] | objects_spread_across_space @ data_elements (content.data) [-] | manageable_object_count @ data_elements (content.data) [-] | more_groups_present @ groups (content.category) [+] | different_colors_used @ colors (property.color) [-]</t>
  </si>
  <si>
    <t>text_labels(text.label) --contributes_to--&gt; chart(whole.visualization) [+] | data_elements(content.data) --varies_in_size_within--&gt; chart(whole.visualization) [+] | groups(content.category) --increases_complexity(raw:increases_complexity_of)--&gt; chart(whole.visualization) [+] | colors(property.color) --differentiates_elements_in--&gt; chart(whole.visualization) [-] | data_elements(content.data) --spread_across--&gt; chart(whole.visualization) [-]</t>
  </si>
  <si>
    <t>vis567.png</t>
  </si>
  <si>
    <t>I don't understand anything about the picture at all. It is all new to me and it doesn't seem to be something I can use my common sense to understand</t>
  </si>
  <si>
    <t>visualization --&gt; whole.visualization [overall] | chart_content --&gt; whole.visualization [data_area] | encoding_scheme --&gt; property.encoding [axes]</t>
  </si>
  <si>
    <t>unfamiliar_to_viewer @ visualization (whole.visualization) [+] | requires_specialized_knowledge @ visualization (whole.visualization) [+] | non_intuitive_representation @ chart_content (whole.visualization) [+] | difficult_to_interpret @ encoding_scheme (property.encoding) [+] | high_cognitive_effort_required @ visualization (whole.visualization) [+]</t>
  </si>
  <si>
    <t>chart_content(whole.visualization) --causes_comprehension_failure--&gt; visualization(whole.visualization) [+] | encoding_scheme(property.encoding) --lacks_common_sense_mapping--&gt; chart_content(whole.visualization) [+]</t>
  </si>
  <si>
    <t>InfoVisJ.2072.7.png</t>
  </si>
  <si>
    <t>I'm unsure what the second one is about, but it's tidier and cleaner. I also like the colours used.</t>
  </si>
  <si>
    <t>organized/structured; appealing colors; unclear meaning/confusing</t>
  </si>
  <si>
    <t>2D/3D; color variety/shading; unclear meaning/confusing</t>
  </si>
  <si>
    <t>chart --&gt; whole.visualization [overall] | color_scheme --&gt; property.color [data_area] | layout --&gt; structure.layout [overall] | title_or_label --&gt; text.label [title]</t>
  </si>
  <si>
    <t>clean_visual_appearance @ chart (whole.visualization) [-] | tidy_organized_layout @ layout (structure.layout) [-] | appealing_color_choices @ color_scheme (property.color) [-] | unclear_subject_matter @ title_or_label (text.label) [-]</t>
  </si>
  <si>
    <t>layout(structure.layout) --reduces_perceived_clutter_of--&gt; chart(whole.visualization) [-] | color_scheme(property.color) --positively_received_within--&gt; chart(whole.visualization) [-] | title_or_label(text.label) --fails_to_clarify(raw:fails_to_clarify_topic_of)--&gt; chart(whole.visualization) [-]</t>
  </si>
  <si>
    <t>InfoVisJ.1063.13.png</t>
  </si>
  <si>
    <t>The second one is much easier to understand than the first. The second graph only has black.; Image on the right is simple, although at the end it has many lines it's visually more pleasing than the one on the left.</t>
  </si>
  <si>
    <t>more charts/points/lines/shapes/elements; black color; visual clarity/appealing; easier to interpret/read/understand</t>
  </si>
  <si>
    <t>color variety/shading; distracting/confusing/unclear; easy/hard to interpret; more charts/points/lines/shapes/elements</t>
  </si>
  <si>
    <t>lines --&gt; mark.line [data_area] | color_scheme --&gt; property.color [overall] | chart --&gt; whole.visualization [overall]</t>
  </si>
  <si>
    <t>high_line_count @ lines (mark.line) [+] | only_black_color @ color_scheme (property.color) [-] | more_visually_pleasing @ chart (whole.visualization) [-] | easier_to_understand @ chart (whole.visualization) [-]</t>
  </si>
  <si>
    <t>color_scheme(property.color) --reduces_clutter_in--&gt; lines(mark.line) [-] | lines(mark.line) --increases_clutter_of--&gt; chart(whole.visualization) [+]</t>
  </si>
  <si>
    <t>VASTJ.160.2.png</t>
  </si>
  <si>
    <t>A lot of lines, which at first look very confusing. In the right there are a lot of numbers, which is difficult to understand. In the right not (no axes). A lot of colours in the right.; looks more messy, more colours, less clear information</t>
  </si>
  <si>
    <t>messy/mixed up/noisy/intermingled elements; more charts/points/lines/shapes/elements; unclear meaning; amount of words/context/numbers; no measurement/metric/axis; color variety/arrangement/distribution; hard to interpret/read/understand</t>
  </si>
  <si>
    <t>amount of words/context/numbers; color variety/shading; easy/hard to interpret; labels/axes/legends; more charts/points/lines/shapes/elements; overlapping shapes/colors/lines; unclear meaning/confusing</t>
  </si>
  <si>
    <t>lines --&gt; mark.line [data_area] | numbers --&gt; content.number [data_area] | axes --&gt; furniture.axes [axes] | colors --&gt; property.color [data_area] | layout --&gt; structure.layout [overall]</t>
  </si>
  <si>
    <t>high_line_quantity @ lines (mark.line) [+] | visually_cluttered_overlap @ lines (mark.line) [+] | high_numeric_density @ numbers (content.number) [+] | axes_absent @ axes (furniture.axes) [+] | many_colors_used @ colors (property.color) [+] | high_color_variety @ colors (property.color) [+] | difficult_to_interpret @ layout (structure.layout) [+] | less_clear_information @ layout (structure.layout) [+] | messy_visual_layout @ layout (structure.layout) [+]</t>
  </si>
  <si>
    <t>lines(mark.line) --contributes_to_clutter_with--&gt; colors(property.color) [+] | axes(furniture.axes) --absence_increases_confusion_in--&gt; layout(structure.layout) [+] | numbers(content.number) --adds_density_to--&gt; layout(structure.layout) [+] | colors(property.color) --increases_cognitive_load_in--&gt; layout(structure.layout) [+]</t>
  </si>
  <si>
    <t>InfoVisC.65.3(2).png</t>
  </si>
  <si>
    <t>whilst the other is a simple picture of numbers</t>
  </si>
  <si>
    <t>numbers --&gt; content.number [data_area]</t>
  </si>
  <si>
    <t>numeric_content_only @ numbers (content.number) [-]</t>
  </si>
  <si>
    <t>VisC.375.9(3).png</t>
  </si>
  <si>
    <t>The image on the right has nodes that are clearly connected with lines.</t>
  </si>
  <si>
    <t>clear connection; lines; nodes</t>
  </si>
  <si>
    <t>distracting/confusing/unclear; shapes and lines; symbols</t>
  </si>
  <si>
    <t>lines --&gt; mark.line [data_area] | nodes --&gt; mark.node [data_area]</t>
  </si>
  <si>
    <t>multiple_lines_present @ lines (mark.line) [+] | limited_node_count @ nodes (mark.node) [-]</t>
  </si>
  <si>
    <t>nodes(mark.node) --has_clear_connection_via--&gt; lines(mark.line) [-]</t>
  </si>
  <si>
    <t>VisC.375.9(2).png</t>
  </si>
  <si>
    <t>in the right one you can clearly see the 2 point of each element</t>
  </si>
  <si>
    <t>shape position; easy to interpret/read/understand</t>
  </si>
  <si>
    <t>easy/hard to interpret; shape position</t>
  </si>
  <si>
    <t>data_elements --&gt; content.data [data_area] | data_points --&gt; mark.point [data_area]</t>
  </si>
  <si>
    <t>limited_to_two_points @ data_elements (content.data) [-] | clearly_visible @ data_points (mark.point) [-]</t>
  </si>
  <si>
    <t>data_points(mark.point) --reduces_clutter_in--&gt; data_elements(content.data) [-]</t>
  </si>
  <si>
    <t>VisC.389.1(3).png</t>
  </si>
  <si>
    <t>The one on the left is less straightforward and has more details than the one on the right.</t>
  </si>
  <si>
    <t>more detailed/things; less intuitive</t>
  </si>
  <si>
    <t>visualization --&gt; whole.visualization [overall] | data_details --&gt; content.data [data_area]</t>
  </si>
  <si>
    <t>high_detail_density @ data_details (content.data) [+] | not_immediately_interpretable @ visualization (whole.visualization) [+]</t>
  </si>
  <si>
    <t>data_details(content.data) --increases_effort(raw:increases_cognitive_load_of)--&gt; visualization(whole.visualization) [+]</t>
  </si>
  <si>
    <t>SciVisJ.645.3.png</t>
  </si>
  <si>
    <t>fast readability reading it top to bottom not having to zoom in</t>
  </si>
  <si>
    <t>fast readability</t>
  </si>
  <si>
    <t>fast_readability @ visualization (whole.visualization) [-]</t>
  </si>
  <si>
    <t>InfoVisJ.349.8.png</t>
  </si>
  <si>
    <t>not as sure on this one but at first glance the dots were hard to visualise. Having looked at it again i am not sure I would have selected same image but at time I thought that because there was not any text it would be hard to connect this.</t>
  </si>
  <si>
    <t>lack of/not enough axis labels/legend/annotations/context; hard to interpret/read/understand; hard to see/tell/visualize; unclear meaning/confusing</t>
  </si>
  <si>
    <t>easy/hard to interpret; labels/axes/legends; unclear meaning/confusing</t>
  </si>
  <si>
    <t>dots --&gt; mark.point [data_area] | text_labels --&gt; text.label [axes] | chart --&gt; whole.visualization [overall]</t>
  </si>
  <si>
    <t>hard_to_visualise @ dots (mark.point) [+] | visually_ambiguous_marks @ dots (mark.point) [+] | absent_text_elements @ text_labels (text.label) [+] | unclear_overall_interpretation @ chart (whole.visualization) [+] | uncertain_image_selection @ chart (whole.visualization) [+]</t>
  </si>
  <si>
    <t>text_labels(text.label) --missing_from--&gt; chart(whole.visualization) [+] | dots(mark.point) --difficult_to_connect_to_meaning--&gt; chart(whole.visualization) [+]</t>
  </si>
  <si>
    <t>VASTJ.1407.9.png</t>
  </si>
  <si>
    <t>The graphic on the left seems to have a simpler structure.; More line crossing each others which add complexity. Adding to the line, you have to look at the scale on the left and at the top; Too many lines. Too many different sections. The wording is on the chart itself, so it feels like it's all complied together onto one graph. The various shades of colour are similar yet somewhat different.</t>
  </si>
  <si>
    <t>more charts/points/lines/shapes/elements; overlapping shapes/colors/lines; too many sections; lines and scales; small and simple; text; color shading</t>
  </si>
  <si>
    <t>amount of words/context/numbers; color variety/shading; more charts/points/lines/shapes/elements; overlapping shapes/colors/lines; shapes and lines; word rotation/small font size</t>
  </si>
  <si>
    <t>lines --&gt; mark.line [data_area] | sections --&gt; structure.region [data_area] | text_labels --&gt; text.label [data_area] | color_shading --&gt; property.color [data_area] | scale --&gt; furniture.scale [axes] | chart_structure --&gt; whole.visualization [overall]</t>
  </si>
  <si>
    <t>excessive_line_count @ lines (mark.line) [+] | lines_cross_each_other @ lines (mark.line) [+] | too_many_sections @ sections (structure.region) [+] | dense_chart_wording @ text_labels (text.label) [+] | various_color_shades @ color_shading (property.color) [+] | scale_adds_complexity @ scale (furniture.scale) [+] | simple_overall_structure @ chart_structure (whole.visualization) [-]</t>
  </si>
  <si>
    <t>lines(mark.line) --intersects_with--&gt; lines(mark.line) [+] | lines(mark.line) --combined_with--&gt; scale(furniture.scale) [+] | color_shading(property.color) --differentiates--&gt; sections(structure.region) [+] | text_labels(text.label) --clutters--&gt; chart_structure(whole.visualization) [+]</t>
  </si>
  <si>
    <t>InfoVisJ.957.25.png</t>
  </si>
  <si>
    <t>It's easier to see the differences.</t>
  </si>
  <si>
    <t>differences_easily_visible @ visualization (whole.visualization) [-]</t>
  </si>
  <si>
    <t>InfoVisJ.349.1(3).png</t>
  </si>
  <si>
    <t>The other image had a more apparent flow and pattern.</t>
  </si>
  <si>
    <t>visualization --&gt; whole.visualization [overall] | flow_pattern --&gt; structure.pattern [data_area]</t>
  </si>
  <si>
    <t>apparent_flow_present @ flow_pattern (structure.pattern) [-] | complex_pattern @ flow_pattern (structure.pattern) [+]</t>
  </si>
  <si>
    <t>flow_pattern(structure.pattern) --reduces_cognitive_load_via--&gt; visualization(whole.visualization) [-] | flow_pattern(structure.pattern) --increases_complexity_through--&gt; visualization(whole.visualization) [+]</t>
  </si>
  <si>
    <t>InfoVisJ.1257.5.png</t>
  </si>
  <si>
    <t>contains more information the layout of the image</t>
  </si>
  <si>
    <t>dense/cluttered layout; much/more data/info/info spread; involves numbers; hard to interpret/read/understand</t>
  </si>
  <si>
    <t>amount of words/context/numbers; easy/hard to interpret; much/little data/info; overlapping shapes/colors/lines</t>
  </si>
  <si>
    <t>chart --&gt; whole.visualization [overall] | data_content --&gt; content.data [data_area]</t>
  </si>
  <si>
    <t>complex_layout_structure @ chart (whole.visualization) [+] | high_information_volume @ data_content (content.data) [+]</t>
  </si>
  <si>
    <t>data_content(content.data) --increases_effort(raw:increases_cognitive_load_of)--&gt; chart(whole.visualization) [+]</t>
  </si>
  <si>
    <t>wsj91.png</t>
  </si>
  <si>
    <t>the other is a full map. I think the map is way more complex then the squares. I chose the one which made less sense. While understanding the map, its hard to choose the map over the grid of squares</t>
  </si>
  <si>
    <t>domain-specific concepts (e.g., chemical, biology, map); hard to interpret/read/understand</t>
  </si>
  <si>
    <t>map --&gt; whole.visualization [overall] | geographic_regions --&gt; structure.region [data_area]</t>
  </si>
  <si>
    <t>full_map_coverage @ map (whole.visualization) [+] | difficult_to_interpret @ map (whole.visualization) [+] | spatially_complex_layout @ geographic_regions (structure.region) [+]</t>
  </si>
  <si>
    <t>map(whole.visualization) --causes_interpretive_confusion--&gt; geographic_regions(structure.region) [+]</t>
  </si>
  <si>
    <t>VASTJ.1.5.png</t>
  </si>
  <si>
    <t>It just looks like a jumble of dots and colors spread randomly between 4 different center points.</t>
  </si>
  <si>
    <t>messy/mixed up/noisy/intermingled elements; shape point of interest; shapes and lines; unclear colormaps</t>
  </si>
  <si>
    <t>color contrast/clarity; overlapping shapes/colors/lines; shape point of interest; shapes and lines</t>
  </si>
  <si>
    <t>dots --&gt; mark.point [data_area] | colors --&gt; property.color [data_area] | center_points --&gt; mark.point [data_area]</t>
  </si>
  <si>
    <t>jumbled_visual_arrangement @ dots (mark.point) [+] | simple_mark_type @ dots (mark.point) [-] | multiple_colors_present @ colors (property.color) [+] | four_distinct_centers @ center_points (mark.point) [+]</t>
  </si>
  <si>
    <t>dots(mark.point) --co_occurs_with(raw:mixed_with)--&gt; colors(property.color) [+] | dots(mark.point) --clustered_around--&gt; center_points(mark.point) [+] | colors(property.color) --differentiates--&gt; center_points(mark.point) [+]</t>
  </si>
  <si>
    <t>np_48.png</t>
  </si>
  <si>
    <t>Significantly more information is processed in the image, making it more difficult to capture</t>
  </si>
  <si>
    <t>much/more data/info/info spread; more difficult to interpret/read/understand/differentiate</t>
  </si>
  <si>
    <t>high_information_volume @ data_content (content.data) [+] | difficult_to_capture @ visualization (whole.visualization) [+] | increased_processing_demand @ visualization (whole.visualization) [+]</t>
  </si>
  <si>
    <t>v488_n7410_15_f3.png</t>
  </si>
  <si>
    <t>1. There's a lot of words and information presented in a small space. 2. There's a lot of colors in it, all taking a lot of space, and they're all very different from each other, creating a sense of "a lot is going on". 3. The arrangement of the data feels a little bit busier than the other image. 4. Lots of lines coming out of other lines. Though I don't think any of those traits are really negative, just more complex.</t>
  </si>
  <si>
    <t>dense/cluttered data/info; overlapping shapes/colors/lines; amount of words/context/numbers; color variety/arrangement/distribution; very different colors</t>
  </si>
  <si>
    <t>amount of words/context/numbers; color variety/shading; overlapping shapes/colors/lines</t>
  </si>
  <si>
    <t>lines --&gt; mark.line [data_area] | text_labels --&gt; text.label [axes] | color_encoding --&gt; property.color [data_area] | chart_area --&gt; mark.area [overall] | legend --&gt; furniture.legend [legend]</t>
  </si>
  <si>
    <t>branching_nested_lines @ lines (mark.line) [+] | visually_busy_layout @ lines (mark.line) [+] | high_word_count @ text_labels (text.label) [+] | many_distinct_colors @ color_encoding (property.color) [+] | all_colors_very_different @ color_encoding (property.color) [+] | dense_information_small_space @ chart_area (mark.area) [+]</t>
  </si>
  <si>
    <t>lines(mark.line) --branches_into--&gt; lines(mark.line) [+] | text_labels(text.label) --crowds--&gt; chart_area(mark.area) [+] | color_encoding(property.color) --increases_clutter_in--&gt; chart_area(mark.area) [+] | lines(mark.line) --packed_within--&gt; chart_area(mark.area) [+] | legend(furniture.legend) --adds_text_to--&gt; chart_area(mark.area) [+]</t>
  </si>
  <si>
    <t>v483_n7390_14_f3.png</t>
  </si>
  <si>
    <t>A phylogenetic tree involves a lot of different species being fit on the same tree and there is a lot of complexity in how lineages are tracked and how the evolutionary tree developed.</t>
  </si>
  <si>
    <t>more charts/points/lines/shapes/elements; domain-specific concepts (e.g., chemical, biology, map)</t>
  </si>
  <si>
    <t>domain-specific concepts (e.g., chemical, biology, map); more charts/points/lines/shapes/elements</t>
  </si>
  <si>
    <t>phylogenetic_tree --&gt; structure.hierarchy [data_area] | species_labels --&gt; text.label [axes] | lineages --&gt; structure.hierarchy [data_area] | branches --&gt; structure.link [data_area]</t>
  </si>
  <si>
    <t>evolutionary_tree_structure @ phylogenetic_tree (structure.hierarchy) [+] | requires_domain_knowledge @ phylogenetic_tree (structure.hierarchy) [+] | many_different_species @ species_labels (text.label) [+] | high_label_density @ species_labels (text.label) [+] | multiple_lineages_present @ lineages (structure.hierarchy) [+] | complex_branching_pattern @ branches (structure.link) [+]</t>
  </si>
  <si>
    <t>phylogenetic_tree(structure.hierarchy) --contains--&gt; lineages(structure.hierarchy) [+] | phylogenetic_tree(structure.hierarchy) --labeled_by--&gt; species_labels(text.label) [+] | lineages(structure.hierarchy) --represented_by--&gt; branches(structure.link) [+] | phylogenetic_tree(structure.hierarchy) --increases_effort(raw:increases_cognitive_load)--&gt; species_labels(text.label) [+]</t>
  </si>
  <si>
    <t>InfoVisJ.2486.8.png</t>
  </si>
  <si>
    <t>lines, relationships;  both are complex; The other image has somewhat of a color scheme. I could see that the red lines are forming some sort of network between the blue dots in the other image. I have seen the other image in data visualizations before.</t>
  </si>
  <si>
    <t>design-data relationship; lines; shapes and lines; a specific technique; a specific technique, e.g., bar, pie, circle; color scale/scheme</t>
  </si>
  <si>
    <t>color variety/shading; design-data relationship; domain-specific concepts (e.g., chemical, biology, map); shapes and lines</t>
  </si>
  <si>
    <t>lines --&gt; mark.line [data_area] | network --&gt; structure.link [data_area] | dots --&gt; mark.point [data_area] | color_scheme --&gt; property.color [overall] | relationships --&gt; structure.link [data_area] | data_visualization --&gt; content.data [overall]</t>
  </si>
  <si>
    <t>numerous_connecting_lines @ lines (mark.line) [+] | complex_network_structure @ network (structure.link) [+] | simple_node_markers @ dots (mark.point) [-] | clear_color_differentiation @ color_scheme (property.color) [-] | readable_relationships @ relationships (structure.link) [-] | familiar_visualization_type @ data_visualization (content.data) [-]</t>
  </si>
  <si>
    <t>lines(mark.line) --increases_clutter_in--&gt; network(structure.link) [+] | dots(mark.point) --connected_by--&gt; lines(mark.line) [+] | color_scheme(property.color) --aids_interpretation(raw:aids_interpretation_of)--&gt; relationships(structure.link) [-] | relationships(structure.link) --clarified_within--&gt; data_visualization(content.data) [-]</t>
  </si>
  <si>
    <t>InfoVisC.219.8.png</t>
  </si>
  <si>
    <t>InfoVisJ.1063.13(3).png</t>
  </si>
  <si>
    <t>No legends at all and a lot of colours</t>
  </si>
  <si>
    <t>lack of/not enough axis labels/legend/annotations/context; color variety/arrangement/distribution</t>
  </si>
  <si>
    <t>legend_absent @ legend (furniture.legend) [+] | high_color_variety @ color_encoding (property.color) [+]</t>
  </si>
  <si>
    <t>color_encoding(property.color) --lacks_explanatory--&gt; legend(furniture.legend) [+]</t>
  </si>
  <si>
    <t>VASTJ.1448.5(2).png</t>
  </si>
  <si>
    <t>more complicated</t>
  </si>
  <si>
    <t>data_points --&gt; mark.point [data_area] | connections --&gt; structure.link [data_area]</t>
  </si>
  <si>
    <t>links_between_points @ connections (structure.link) [+] | instantly_increases_complexity @ connections (structure.link) [+]</t>
  </si>
  <si>
    <t>connections(structure.link) --connects_between--&gt; data_points(mark.point) [+]</t>
  </si>
  <si>
    <t>VASTJ.1.10.png</t>
  </si>
  <si>
    <t>The information in the highlighted one is too detailed to effectively make out information in comparison to the other.</t>
  </si>
  <si>
    <t>too many details/divisions; hard to interpret/read/understand</t>
  </si>
  <si>
    <t>visualization --&gt; whole.visualization [overall] | data_elements --&gt; content.data [data_area]</t>
  </si>
  <si>
    <t>excessively_detailed @ visualization (whole.visualization) [+] | too_dense_to_read @ data_elements (content.data) [+] | information_hard_to_extract @ data_elements (content.data) [+]</t>
  </si>
  <si>
    <t>data_elements(content.data) --overwhelms--&gt; visualization(whole.visualization) [+] | visualization(whole.visualization) --impedes_interpretation_of--&gt; data_elements(content.data) [+]</t>
  </si>
  <si>
    <t>vis216.png</t>
  </si>
  <si>
    <t>text and imagery</t>
  </si>
  <si>
    <t>images --&gt; whole.visualization [data_area] | text_labels --&gt; text.label [data_area] | information_content --&gt; content.data [overall]</t>
  </si>
  <si>
    <t>visual_image_elements_present @ images (whole.visualization) [+] | word_elements_present @ text_labels (text.label) [+] | high_information_volume @ information_content (content.data) [+]</t>
  </si>
  <si>
    <t>images(whole.visualization) --co_occurs_with(raw:mixed_with)--&gt; text_labels(text.label) [+] | information_content(content.data) --increases_effort(raw:increases_cognitive_load_of)--&gt; text_labels(text.label) [+]</t>
  </si>
  <si>
    <t>InfoVisJ.1569.6.png</t>
  </si>
  <si>
    <t>fast readability reading it top to bottom not having to zoom in context; The line allows for processing</t>
  </si>
  <si>
    <t>fast readability; easier to process/visualize</t>
  </si>
  <si>
    <t>line --&gt; mark.line [data_area] | chart --&gt; whole.visualization [overall]</t>
  </si>
  <si>
    <t>enables_visual_processing @ line (mark.line) [+] | fast_readability @ chart (whole.visualization) [-]</t>
  </si>
  <si>
    <t>line(mark.line) --contributes_to_processing_of--&gt; chart(whole.visualization) [+]</t>
  </si>
  <si>
    <t>wsj533.png</t>
  </si>
  <si>
    <t>The image to the left is clear and concise and easier to read</t>
  </si>
  <si>
    <t>clear and concise; easier to read</t>
  </si>
  <si>
    <t>distracting/confusing/unclear; word rotation/small font size</t>
  </si>
  <si>
    <t>chart --&gt; whole.visualization [overall] | text_labels --&gt; text.label [axes]</t>
  </si>
  <si>
    <t>clear_and_concise_layout @ chart (whole.visualization) [-] | easy_to_read @ text_labels (text.label) [-]</t>
  </si>
  <si>
    <t>text_labels(text.label) --contributes_to--&gt; chart(whole.visualization) [-]</t>
  </si>
  <si>
    <t>visMost634.png</t>
  </si>
  <si>
    <t>contrasting colours</t>
  </si>
  <si>
    <t>good color contrast/separation/segmentation</t>
  </si>
  <si>
    <t>contrasting_color_scheme @ chart (whole.visualization) [-]</t>
  </si>
  <si>
    <t>vis673.png</t>
  </si>
  <si>
    <t>visualization --&gt; whole.visualization [overall] | data_area --&gt; structure.region [data_area] | presentation_logic --&gt; structure.layout [overall] | key_patterns --&gt; structure.pattern [data_area] | information_noise --&gt; content.data [data_area]</t>
  </si>
  <si>
    <t>initially_visually_attractive @ visualization (whole.visualization) [-] | invites_deeper_analysis @ visualization (whole.visualization) [-] | high_cognitive_load_to_decode @ presentation_logic (structure.layout) [+] | complex_presentation_logic @ presentation_logic (structure.layout) [+] | difficult_to_extract_takeaway @ key_patterns (structure.pattern) [+] | signal_noise_separation_hard @ information_noise (content.data) [+]</t>
  </si>
  <si>
    <t>visualization(whole.visualization) --requires_extended_time_to_understand--&gt; presentation_logic(structure.layout) [+] | data_area(structure.region) --obscures--&gt; key_patterns(structure.pattern) [+] | information_noise(content.data) --increases_cognitive_effort_in--&gt; data_area(structure.region) [+]</t>
  </si>
  <si>
    <t>v488_n7413_12_f2.png</t>
  </si>
  <si>
    <t>The image with the orange box has many data points; ambiguous numbers; different shapes of data points; more words that take longer to decode</t>
  </si>
  <si>
    <t>more charts/points/lines/shapes/elements; shape size variation; ambiguous numbers; more texts/words; take longer to interpret</t>
  </si>
  <si>
    <t>amount of words/context/numbers; more charts/points/lines/shapes/elements; shapes and lines; take longer to interpret</t>
  </si>
  <si>
    <t>data_points --&gt; mark.point [data_area] | point_shapes --&gt; mark.point [data_area] | numeric_labels --&gt; text.label [data_area] | text_elements --&gt; text.label [overall] | chart --&gt; whole.visualization [overall]</t>
  </si>
  <si>
    <t>high_data_point_count @ data_points (mark.point) [+] | multiple_distinct_shapes @ point_shapes (mark.point) [+] | ambiguous_numeric_values @ numeric_labels (text.label) [+] | high_word_count @ text_elements (text.label) [+] | requires_extended_decoding @ chart (whole.visualization) [+]</t>
  </si>
  <si>
    <t>point_shapes(mark.point) --increases_complexity(raw:increases_visual_complexity_of)--&gt; data_points(mark.point) [+] | numeric_labels(text.label) --contributes_to_ambiguity_in--&gt; chart(whole.visualization) [+] | text_elements(text.label) --prolongs_decoding_of--&gt; chart(whole.visualization) [+]</t>
  </si>
  <si>
    <t>InfoVisC.157.1.png</t>
  </si>
  <si>
    <t>too many subplots, small fonts, lack of describing information of the elements; the image on the right I find that I will unlikely be able to interpret; It wasn't clear as to what is going on in the chart.</t>
  </si>
  <si>
    <t>too many subplots; lack of legend; word rotation/small font size; hard to interpret/read/understand</t>
  </si>
  <si>
    <t>easy/hard to interpret; labels/axes/legends; more charts/points/lines/shapes/elements; word rotation/small font size</t>
  </si>
  <si>
    <t>subplots --&gt; structure.panel [data_area] | fonts --&gt; property.font_style [axes] | labels_annotations --&gt; text.label [annotation] | overall_visualization --&gt; whole.visualization [overall]</t>
  </si>
  <si>
    <t>excessive_subplot_count @ subplots (structure.panel) [+] | small_font_size @ fonts (property.font_style) [+] | lacks_describing_information @ labels_annotations (text.label) [+] | unclear_visual_content @ overall_visualization (whole.visualization) [+] | unlikely_to_interpret @ overall_visualization (whole.visualization) [+]</t>
  </si>
  <si>
    <t>subplots(structure.panel) --increases_clutter_in--&gt; overall_visualization(whole.visualization) [+] | labels_annotations(text.label) --contributes_to_ambiguity_of--&gt; overall_visualization(whole.visualization) [+] | fonts(property.font_style) --reduces_legibility_of--&gt; labels_annotations(text.label) [+]</t>
  </si>
  <si>
    <t>wsj294.png</t>
  </si>
  <si>
    <t>Excessive Data Points: When a chart contains too many data points, it can overwhelm the viewer and make it difficult to discern meaningful patterns or trends. Cluttered Labels and Annotations: If labels, titles, and annotations are excessively crowded or overlapping, it can make it challenging to identify specific elements within the chart. Poor Color Choices: Using too many colors or poorly contrasting colors can make it difficult to differentiate between different data series or categories. Data Overload: Including too much data in a single chart or diagram can make it difficult to focus on the most important information and can obscure key insights.; less visually appealing, harder to discern information- more going on</t>
  </si>
  <si>
    <t>dense points/lines/shapes/elements; dense/cluttered data/info; more detailed/things; too many points/lines/shapes/elements; too much data/info; cluttered labels/annotations; title/axis/label/descriptions; color variety/arrangement/distribution; too many colors; less attractive; more difficult to compare/discern/distinguish</t>
  </si>
  <si>
    <t>color variety/shading; distracting/confusing/unclear; easy/hard to interpret; labels/axes/legends; more charts/points/lines/shapes/elements; much/little data/info; overlapping shapes/colors/lines</t>
  </si>
  <si>
    <t>data_points --&gt; mark.point [data_area] | labels --&gt; text.label [data_area] | annotations --&gt; text.annotation [annotation] | title --&gt; text.title [title] | color_scheme --&gt; property.color [overall] | legend --&gt; furniture.legend [legend]</t>
  </si>
  <si>
    <t>excessive_data_points @ data_points (mark.point) [+] | too_much_data @ data_points (mark.point) [+] | crowded_overlapping_elements @ data_points (mark.point) [+] | cluttered_labels @ labels (text.label) [+] | overlapping_text @ labels (text.label) [+] | excessive_annotations @ annotations (text.annotation) [+] | poorly_contrasting_colors @ color_scheme (property.color) [+] | too_many_colors @ color_scheme (property.color) [+] | poor_color_choices @ color_scheme (property.color) [+] | less_visually_appealing @ legend (furniture.legend) [+]</t>
  </si>
  <si>
    <t>data_points(mark.point) --causes_difficulty_discerning--&gt; labels(text.label) [+] | labels(text.label) --overlaps_with--&gt; annotations(text.annotation) [+] | color_scheme(property.color) --increases_effort(raw:increases_cognitive_load_of)--&gt; data_points(mark.point) [+] | annotations(text.annotation) --contributes_to_clutter_with--&gt; labels(text.label) [+] | data_points(mark.point) --makes_harder_to_read--&gt; legend(furniture.legend) [+]</t>
  </si>
  <si>
    <t>whoK22.png</t>
  </si>
  <si>
    <t>the lines are going in different directiopns and amounts. i think it's harder to follow the sense of the graphic as there's no images or information that instantly falls into your view</t>
  </si>
  <si>
    <t>indistinguishable/unintuitive lines; more difficult to focus/follow</t>
  </si>
  <si>
    <t>more difficult to focus/follow; shapes and lines</t>
  </si>
  <si>
    <t>lines --&gt; mark.line [data_area] | graphic --&gt; whole.visualization [overall]</t>
  </si>
  <si>
    <t>multiple_directions @ lines (mark.line) [+] | varying_amounts @ lines (mark.line) [+] | difficult_to_follow @ graphic (whole.visualization) [+]</t>
  </si>
  <si>
    <t>lines(mark.line) --increases_complexity(raw:increases_difficulty_of)--&gt; graphic(whole.visualization) [+]</t>
  </si>
  <si>
    <t>InfoVisJ.989.8.png</t>
  </si>
  <si>
    <t>more labels/context; more legible</t>
  </si>
  <si>
    <t>easy/hard to interpret; more labels/context</t>
  </si>
  <si>
    <t>labels --&gt; text.label [data_area] | text --&gt; text.label [overall]</t>
  </si>
  <si>
    <t>more_information_labeled @ labels (text.label) [+] | more_legible @ text (text.label) [+]</t>
  </si>
  <si>
    <t>labels(text.label) --increases_data_density--&gt; text(text.label) [+]</t>
  </si>
  <si>
    <t>vis652.png</t>
  </si>
  <si>
    <t>The composition of the one on the right is a lot more convoluted; Difference of clarity; 1. More unrelated data elements; 2. Busier infographic layout; 3. Text on top of pictures; the right image only has 4 data points and one more bit of info on the top right; hard to differentiate 2nd and 4th from the image; -More colors -Bad color choice in regard to contrasts -Small font sizes -Different font sizes; not simple data; Less clear writing; it has more text, is less intuitive, is not as simple color wise; How easy it is to interpret information</t>
  </si>
  <si>
    <t>dense/cluttered layout; little data/info; more charts/points/lines/shapes/elements; much/more data/info/info spread; different clarity; different font/word sizes/structure; more texts/words; text on picture; unclear relation between words; word rotation/small font size; color variety/arrangement/distribution; low color contrast/separation/segmentation; not simple color-wise; convoluted composition; distracting/confusing/unclear; unclear colors/contrast; hard to interpret/read/understand/differentiate; less intuitive; not intuitive/simple data</t>
  </si>
  <si>
    <t>amount of words/context/numbers; color contrast/clarity; color variety/shading; distracting/confusing/unclear; easy/hard to interpret; more charts/points/lines/shapes/elements; much/little data/info; overlapping shapes/colors/lines; unclear colors/contrast; unclear meaning/confusing; word rotation/small font size</t>
  </si>
  <si>
    <t>data_points --&gt; mark.point [data_area] | text_labels --&gt; text.label [data_area] | color_scheme --&gt; property.color [overall] | legend --&gt; furniture.legend [legend] | layout --&gt; structure.layout [overall] | background_images --&gt; structure.background [data_area]</t>
  </si>
  <si>
    <t>only_four_data_points @ data_points (mark.point) [-] | not_simple_data @ data_points (mark.point) [+] | more_text_present @ text_labels (text.label) [+] | different_font_sizes @ text_labels (text.label) [+] | small_font_sizes @ text_labels (text.label) [+] | less_clear_writing @ text_labels (text.label) [+] | more_colors_used @ color_scheme (property.color) [+] | bad_contrast_color_choice @ color_scheme (property.color) [+] | not_simple_color_wise @ color_scheme (property.color) [+] | hard_to_differentiate @ color_scheme (property.color) [+] | busier_layout @ layout (structure.layout) [+] | composition_more_convoluted @ layout (structure.layout) [+] | more_unrelated_data_elements @ layout (structure.layout) [+] | less_intuitive_overall @ layout (structure.layout) [+]</t>
  </si>
  <si>
    <t>text_labels(text.label) --overlaid_on--&gt; background_images(structure.background) [+] | color_scheme(property.color) --reduces_clarity_of--&gt; data_points(mark.point) [+] | layout(structure.layout) --increases_effort(raw:increases_cognitive_load_of)--&gt; legend(furniture.legend) [+] | text_labels(text.label) --contributes_to_difference_in_clarity_of--&gt; layout(structure.layout) [+]</t>
  </si>
  <si>
    <t>VASTJ.151.12.png</t>
  </si>
  <si>
    <t>The circle graphs look less important than the bar graphs</t>
  </si>
  <si>
    <t>a specific technique, e.g., bar, pie, circle; not intuitive/simple data</t>
  </si>
  <si>
    <t>circle_graph --&gt; whole.visualization [data_area] | visual_elements --&gt; mark.element [overall]</t>
  </si>
  <si>
    <t>familiar_circular_form @ circle_graph (whole.visualization) [-] | appears_less_important @ visual_elements (mark.element) [-]</t>
  </si>
  <si>
    <t>circle_graph(whole.visualization) --reduces_perceived_complexity_of--&gt; visual_elements(mark.element) [-]</t>
  </si>
  <si>
    <t>InfoVisJ.669.4.png</t>
  </si>
  <si>
    <t>More data points on second image. Labelled axis; #NAME?</t>
  </si>
  <si>
    <t>more charts/points/lines/shapes/elements; labeled axis</t>
  </si>
  <si>
    <t>labels/axes/legends; more charts/points/lines/shapes/elements</t>
  </si>
  <si>
    <t>data_points --&gt; mark.point [data_area] | axis_labels --&gt; text.axis_label [axes]</t>
  </si>
  <si>
    <t>high_quantity_of_points @ data_points (mark.point) [+] | labeled_axes_present @ axis_labels (text.axis_label) [+]</t>
  </si>
  <si>
    <t>data_points(mark.point) --increases_clutter_relative_to--&gt; axis_labels(text.axis_label) [+]</t>
  </si>
  <si>
    <t>economist_daily_chart_349.png</t>
  </si>
  <si>
    <t>Reading the graph in the orange region is more challenging compared to the other graph because at first glance, there appears to be complexity. The distribution is not clearly discernible, the intervals are wide, making accurate interpretation challenging. Having a certain linearity would have been more helpful.</t>
  </si>
  <si>
    <t>accurate_interpretation_challenging @ chart (whole.visualization) [+]</t>
  </si>
  <si>
    <t>v485_n7399_9_f5.png</t>
  </si>
  <si>
    <t>Despite the other image (the less complex one) having a legend with chemical compounds (which could be considered complex), the lines in the graph show a clear shape that can be interpreted in less than a second.</t>
  </si>
  <si>
    <t>clear colors/shapes; lines; too much legend; domain-specific concepts (e.g., chemical, biology, map); easy to interpret/read/understand</t>
  </si>
  <si>
    <t>clear colors/shapes; domain-specific concepts (e.g., chemical, biology, map); easy/hard to interpret; labels/axes/legends; shapes and lines</t>
  </si>
  <si>
    <t>chart_shape --&gt; whole.visualization [data_area] | lines --&gt; mark.line [data_area] | legend --&gt; furniture.legend [legend] | chemical_compound_labels --&gt; text.label [axes]</t>
  </si>
  <si>
    <t>clear_recognizable_shape @ chart_shape (whole.visualization) [-] | multiple_lines_present @ lines (mark.line) [+] | legend_adds_complexity @ legend (furniture.legend) [+] | familiar_domain_labels @ chemical_compound_labels (text.label) [-] | instantly_interpretable @ chart_shape (whole.visualization) [-]</t>
  </si>
  <si>
    <t>lines(mark.line) --increases_clutter_in--&gt; chart_shape(whole.visualization) [+] | legend(furniture.legend) --requires_reference_to--&gt; lines(mark.line) [+] | chemical_compound_labels(text.label) --reduces_ambiguity_of--&gt; chart_shape(whole.visualization) [-]</t>
  </si>
  <si>
    <t>VisC.251.7.png</t>
  </si>
  <si>
    <t>There is more information to process in the first image</t>
  </si>
  <si>
    <t>visualization(whole.visualization) --increases_complexity(raw:increases)--&gt; visualization(whole.visualization) [+]</t>
  </si>
  <si>
    <t>v487_n7407_14_f4.png</t>
  </si>
  <si>
    <t>In the other image, even if it is still complex, we can clearly see what the graph is about, what each axis is measuring, and the shapes and colors can be distinguished.</t>
  </si>
  <si>
    <t>shapes; axis meaning; unclear colormaps</t>
  </si>
  <si>
    <t>chart --&gt; whole.visualization [overall] | shapes --&gt; mark.shape [data_area] | axes --&gt; furniture.axes [axes] | colors --&gt; property.color [data_area]</t>
  </si>
  <si>
    <t>shapes_aid_interpretation @ shapes (mark.shape) [-] | axis_measurements_clear @ axes (furniture.axes) [-] | multiple_colors_present @ colors (property.color) [+]</t>
  </si>
  <si>
    <t>colors(property.color) --increases_complexity(raw:increases_complexity_of)--&gt; chart(whole.visualization) [+] | axes(furniture.axes) --reduces_ambiguity_in--&gt; chart(whole.visualization) [-] | shapes(mark.shape) --simplifies_reading_of--&gt; chart(whole.visualization) [-]</t>
  </si>
  <si>
    <t>InfoVisJ.479.13.png</t>
  </si>
  <si>
    <t>much/more data/info/info spread; readable/distinguishable colors</t>
  </si>
  <si>
    <t>distinguishable color variety/arrangement/distribution; much/little data/info</t>
  </si>
  <si>
    <t>aids_readability @ color_encoding (property.color) [+] | high_information_volume @ data_content (content.data) [+]</t>
  </si>
  <si>
    <t>color_encoding(property.color) --reduces_difficulty_of--&gt; chart(whole.visualization) [+] | data_content(content.data) --increases_effort(raw:increases_cognitive_load_of)--&gt; chart(whole.visualization) [+]</t>
  </si>
  <si>
    <t>vis639.png</t>
  </si>
  <si>
    <t>The one on the left has a random collection of multicoloured circles and I dont know what they mean.</t>
  </si>
  <si>
    <t>unclear shape meaning; color variety/arrangement/distribution; looks random/messy/lack structure</t>
  </si>
  <si>
    <t>color variety/shading; distracting/confusing/unclear; unclear meaning/confusing</t>
  </si>
  <si>
    <t>circles --&gt; mark.point [data_area] | colors --&gt; property.color [data_area] | legend --&gt; furniture.legend [legend]</t>
  </si>
  <si>
    <t>random_collection_layout @ circles (mark.point) [+] | meaning_unclear @ circles (mark.point) [+] | multicolored_encoding @ colors (property.color) [+]</t>
  </si>
  <si>
    <t>colors(property.color) --applied_to--&gt; circles(mark.point) [+] | legend(furniture.legend) --fails_to_clarify--&gt; circles(mark.point) [+] | circles(mark.point) --lacks_clear_spatial_structure--&gt; circles(mark.point) [+]</t>
  </si>
  <si>
    <t>VisJ.1431.19.png</t>
  </si>
  <si>
    <t>The image I selected looked a lot less neater and more scattered than the other image. There's a lot more going on. There's different shapes, it's hard to make sense of why the dots are scattered the way they are. It's hard to see what kind of story the image I selected is trying to tell. I am unfamiliar with the kind of image I selected. I have never seen a piece of art of data visualization that looks like the image I selected.</t>
  </si>
  <si>
    <t>scattered shapes (e.g., dots, squares, pictures); shape size variation; unfamiliar concepts/patterns; hard to interpret/read/understand/differentiate; hard to see/tell/visualize</t>
  </si>
  <si>
    <t>domain-specific concepts (e.g., chemical, biology, map); easy/hard to interpret; scattered shapes (e.g., dots, squares, pictures); shapes and lines</t>
  </si>
  <si>
    <t>data_points --&gt; mark.point [data_area] | shapes --&gt; mark.shape [data_area] | visualization --&gt; whole.visualization [overall] | layout --&gt; structure.layout [data_area]</t>
  </si>
  <si>
    <t>scattered_distribution @ data_points (mark.point) [+] | dots_scattered_widely @ data_points (mark.point) [+] | multiple_different_shapes @ shapes (mark.shape) [+] | unfamiliar_visualization_type @ visualization (whole.visualization) [+] | never_seen_before @ visualization (whole.visualization) [+] | hard_to_make_sense @ visualization (whole.visualization) [+] | hard_to_see_story @ layout (structure.layout) [+]</t>
  </si>
  <si>
    <t>data_points(mark.point) --distributed_across(raw:scattered_across)--&gt; layout(structure.layout) [+] | shapes(mark.shape) --increases_encoding_complexity_of--&gt; visualization(whole.visualization) [+] | visualization(whole.visualization) --requires_unfamiliar_schema_for--&gt; layout(structure.layout) [+]</t>
  </si>
  <si>
    <t>VisC.375.2.png</t>
  </si>
  <si>
    <t>1. The image has many points plotted, indicating a rich and dense data set. 2. It shows a wide range of information with different colors and shapes representing various data subsets. 3. The y-axis is non-linear, which makes it more complex to interpret. 4. The legend adds another layer of complexity to the understanding of the graph.</t>
  </si>
  <si>
    <t>dense/cluttered data/info; more charts/points/lines/shapes/elements; shape subset representation; nonlinear measurement/metric/axis; too much legend; color variety/arrangement/distribution; more difficult to interpret/read/understand/differentiate</t>
  </si>
  <si>
    <t>color variety/shading; domain-specific concepts (e.g., chemical, biology, map); easy/hard to interpret; labels/axes/legends; more charts/points/lines/shapes/elements; overlapping shapes/colors/lines; shapes and lines</t>
  </si>
  <si>
    <t>data_points --&gt; mark.point [data_area] | legend --&gt; furniture.legend [legend] | y_axis --&gt; furniture.axes [axes] | color_encoding --&gt; property.color [data_area] | shape_encoding --&gt; property.encoding [data_area]</t>
  </si>
  <si>
    <t>dense_data_set @ data_points (mark.point) [+] | many_data_points @ data_points (mark.point) [+] | adds_visual_complexity @ legend (furniture.legend) [+] | non_linear_scale @ y_axis (furniture.axes) [+] | different_colors_used @ color_encoding (property.color) [-] | shapes_represent_subsets @ shape_encoding (property.encoding) [+]</t>
  </si>
  <si>
    <t>shape_encoding(property.encoding) --increases_effort(raw:increases_interpretive_difficulty_of)--&gt; data_points(mark.point) [+] | y_axis(furniture.axes) --complicates_reading_of--&gt; data_points(mark.point) [+] | color_encoding(property.color) --aids_differentiation_of--&gt; shape_encoding(property.encoding) [-] | legend(furniture.legend) --required_to_decode--&gt; shape_encoding(property.encoding) [+]</t>
  </si>
  <si>
    <t>v488_n7410_20_f4.png</t>
  </si>
  <si>
    <t>The image on the left is harder to undertand as again no metrics is provided making it harder to make sense</t>
  </si>
  <si>
    <t>no measurement/metric/axis; more difficult to interpret/read/understand/differentiate</t>
  </si>
  <si>
    <t>visualization --&gt; whole.visualization [overall] | metrics --&gt; content.number [axes]</t>
  </si>
  <si>
    <t>no_metrics_present @ metrics (content.number) [+] | difficult_to_interpret @ visualization (whole.visualization) [-]</t>
  </si>
  <si>
    <t>metrics(content.number) --absence_increases_difficulty_of--&gt; visualization(whole.visualization) [+]</t>
  </si>
  <si>
    <t>VASTJ.1683.4(3).png</t>
  </si>
  <si>
    <t>I see the image on the left as being more in order, more capable of being understood, more likely able to establish something from it; I found them equally difficult.</t>
  </si>
  <si>
    <t>ordered; more difficult; more interpretable/readable/understandable</t>
  </si>
  <si>
    <t>easy/hard to interpret; ordered</t>
  </si>
  <si>
    <t>visualization --&gt; whole.visualization [overall] | layout --&gt; structure.layout [overall] | data_elements --&gt; content.data [data_area]</t>
  </si>
  <si>
    <t>equally_difficult_to_parse @ visualization (whole.visualization) [-] | ordered_arrangement @ layout (structure.layout) [-] | understandable_content @ data_elements (content.data) [-]</t>
  </si>
  <si>
    <t>layout(structure.layout) --facilitates_comprehension_of--&gt; data_elements(content.data) [-] | layout(structure.layout) --reduces_cognitive_load_of--&gt; visualization(whole.visualization) [-]</t>
  </si>
  <si>
    <t>v487_n7406_13_f2.png</t>
  </si>
  <si>
    <t>To be honest they are both complex, The chosen image has more detail and more information to consume; 3 Dimensional elements; Lack of legend; Graph mixing numbers, colors, animal shapes, abstract shapes, dots, lines, numbers</t>
  </si>
  <si>
    <t>much/more data/info/info spread; 2D/3D; abstract shapes or colors; lines; shapes and lines; lack of/not enough axis labels/legend/annotations/context; domain-specific concepts (e.g., chemical, biology, map); unclear colormaps</t>
  </si>
  <si>
    <t>2D/3D; abstract shapes or colors; color contrast/clarity; domain-specific concepts (e.g., chemical, biology, map); labels/axes/legends; much/little data/info; shapes and lines</t>
  </si>
  <si>
    <t>3d_elements --&gt; mark.element [data_area] | abstract_shapes --&gt; mark.shape [data_area] | animal_shapes --&gt; mark.shape [data_area] | dots --&gt; mark.point [data_area] | lines --&gt; mark.line [data_area] | legend --&gt; furniture.legend [overall] | colors --&gt; property.color [overall]</t>
  </si>
  <si>
    <t>three_dimensional_structure @ 3d_elements (mark.element) [+] | abstract_visual_forms @ abstract_shapes (mark.shape) [+] | animal_shaped_marks @ animal_shapes (mark.shape) [+] | simple_point_markers @ dots (mark.point) [-] | multiple_lines_present @ lines (mark.line) [+] | legend_absent @ legend (furniture.legend) [+] | multiple_colors_used @ colors (property.color) [+] | high_detail_content @ abstract_shapes (mark.shape) [+] | increased_cognitive_load @ 3d_elements (mark.element) [+]</t>
  </si>
  <si>
    <t>legend(furniture.legend) --absent_making_harder_to_interpret--&gt; colors(property.color) [+] | animal_shapes(mark.shape) --adds_visual_complexity_alongside--&gt; abstract_shapes(mark.shape) [+] | lines(mark.line) --increases_clutter_with--&gt; dots(mark.point) [+] | 3d_elements(mark.element) --contributes_more_information_than--&gt; dots(mark.point) [+]</t>
  </si>
  <si>
    <t>VASTC.107.7.png</t>
  </si>
  <si>
    <t>on the right, the x and y axes could represent geo coordinates (like in the left). i also thought each country in the map could be represented as a dot (of the capital or of the middle of the shape) without losing info so i assumed the country shapes weren't that much more complex than dots. in the end, i thought on the right there are more colors and there are more areas (circles) so it's a bit more complex. now that i think about it, on the right there is also no text which adds complexity since we have to guess a legend (it also makes it look more abstract).</t>
  </si>
  <si>
    <t>more detailed/things; shapes; shapes and lines; lack of/not enough axis labels/legend/annotations/context; more title/axis/label; too much legend; domain-specific concepts (e.g., chemical, biology, map); color variety/arrangement/distribution</t>
  </si>
  <si>
    <t>color variety/shading; domain-specific concepts (e.g., chemical, biology, map); labels/axes/legends; much/little data/info; shapes and lines</t>
  </si>
  <si>
    <t>map --&gt; whole.visualization [data_area] | country_shapes --&gt; mark.shape [data_area] | circles --&gt; mark.point [data_area] | dots --&gt; mark.point [data_area] | legend --&gt; furniture.legend [legend] | axes --&gt; furniture.axes [axes]</t>
  </si>
  <si>
    <t>familiar_map_format @ map (whole.visualization) [-] | recognizable_country_shapes @ country_shapes (mark.shape) [-] | multiple_circles_present @ circles (mark.point) [+] | simple_dot_marks @ dots (mark.point) [-] | legend_adds_complexity @ legend (furniture.legend) [+] | x_and_y_axes_present @ axes (furniture.axes) [+] | more_distinct_areas @ map (whole.visualization) [+] | no_text_labels @ map (whole.visualization) [+] | more_colors_used @ country_shapes (mark.shape) [+]</t>
  </si>
  <si>
    <t>circles(mark.point) --overlaid_on--&gt; country_shapes(mark.shape) [+] | legend(furniture.legend) --encodes_colors_of--&gt; country_shapes(mark.shape) [+] | axes(furniture.axes) --adds_structure_to--&gt; map(whole.visualization) [+] | dots(mark.point) --simpler_than--&gt; circles(mark.point) [-]</t>
  </si>
  <si>
    <t>InfoVisJ.459.15.png</t>
  </si>
  <si>
    <t>1 I don't even understand what its talking about in 5 sec 2 this is bland not a lot of colour</t>
  </si>
  <si>
    <t>inadequate/few coloring; not interpretable/readable/understandable</t>
  </si>
  <si>
    <t>easy/hard to interpret; inadequate/few coloring</t>
  </si>
  <si>
    <t>chart --&gt; whole.visualization [overall] | color_scheme --&gt; property.color [data_area] | text_content --&gt; text.label [overall]</t>
  </si>
  <si>
    <t>limited_color_variety @ color_scheme (property.color) [+] | not_immediately_interpretable @ text_content (text.label) [+]</t>
  </si>
  <si>
    <t>color_scheme(property.color) --contributes_to_difficulty_of--&gt; text_content(text.label) [+] | text_content(text.label) --requires_extended_processing_in--&gt; chart(whole.visualization) [+]</t>
  </si>
  <si>
    <t>wsj124.png</t>
  </si>
  <si>
    <t>You can clearly see the data that is being expressed.</t>
  </si>
  <si>
    <t>data_clearly_visible @ chart (whole.visualization) [-]</t>
  </si>
  <si>
    <t>InfoVisJ.1161.5.png</t>
  </si>
  <si>
    <t>The opposite one is just a collection of 3 different dots</t>
  </si>
  <si>
    <t>small_collection_three_dots @ dots (mark.point) [-]</t>
  </si>
  <si>
    <t>v486_n7401_7_f1.png</t>
  </si>
  <si>
    <t>The other image is a basic graph with two or three data points. In comparison to earth and all it's detail, politics, geography, it is lacking.</t>
  </si>
  <si>
    <t>little data/info; more detailed/things; a specific domain; a specific technique; domain-specific concepts (e.g., chemical, biology, map)</t>
  </si>
  <si>
    <t>graph --&gt; whole.visualization [overall] | data_points --&gt; mark.point [data_area] | earth_geography --&gt; structure.region [data_area]</t>
  </si>
  <si>
    <t>basic_simple_structure @ graph (whole.visualization) [-] | low_detail_overall @ graph (whole.visualization) [-] | very_few_data_points @ data_points (mark.point) [-] | geographic_domain_context @ earth_geography (structure.region) [-]</t>
  </si>
  <si>
    <t>data_points(mark.point) --minimally_populates--&gt; graph(whole.visualization) [-] | earth_geography(structure.region) --provides_familiar_context_for--&gt; graph(whole.visualization) [-]</t>
  </si>
  <si>
    <t>np_21.png</t>
  </si>
  <si>
    <t>there has a lot of pictures and words and also picture of world; More text More individual elements Harder to understand hierarchy at first glance More variety in shapes; Small text; Different sections; Image of Earth with lines; more context, has text and information to read and understand the visualisation better.</t>
  </si>
  <si>
    <t>more charts/points/lines/shapes/elements; shape variation; clear text/scale/information; more labels/context; more texts/words; word rotation/small font size; word/text/sentence; a specific domain; domain-specific concepts (e.g., chemical, biology, map); more difficult to interpret/read/understand/differentiate</t>
  </si>
  <si>
    <t>amount of words/context/numbers; clear text/scale/information; domain-specific concepts (e.g., chemical, biology, map); easy/hard to interpret; more charts/points/lines/shapes/elements; more labels/context; shape variation; word rotation/small font size</t>
  </si>
  <si>
    <t>earth_image --&gt; whole.visualization [data_area] | lines --&gt; mark.line [data_area] | text_labels --&gt; text.label [overall] | shapes --&gt; mark.shape [data_area] | hierarchy_structure --&gt; structure.hierarchy [overall] | legend --&gt; furniture.legend [legend]</t>
  </si>
  <si>
    <t>small_text_size @ text_labels (text.label) [+] | high_text_quantity @ text_labels (text.label) [+] | provides_context @ text_labels (text.label) [-] | text_aids_interpretation @ text_labels (text.label) [-] | pictorial_world_element @ earth_image (whole.visualization) [+] | high_shape_variety @ shapes (mark.shape) [+] | hierarchy_hard_to_parse @ hierarchy_structure (structure.hierarchy) [+] | many_individual_elements @ legend (furniture.legend) [+]</t>
  </si>
  <si>
    <t>earth_image(whole.visualization) --overlaid_with--&gt; lines(mark.line) [+] | text_labels(text.label) --accompanies--&gt; earth_image(whole.visualization) [+] | lines(mark.line) --connects--&gt; shapes(mark.shape) [+] | hierarchy_structure(structure.hierarchy) --increases_effort(raw:increases_cognitive_load_of)--&gt; text_labels(text.label) [+] | text_labels(text.label) --provides_information_for--&gt; hierarchy_structure(structure.hierarchy) [-]</t>
  </si>
  <si>
    <t>InfoVisJ.349.10.png</t>
  </si>
  <si>
    <t>Too many shapes Too many colours Too many variables</t>
  </si>
  <si>
    <t>more charts/points/lines/shapes/elements; more parameters/variables; amount of / too many colors</t>
  </si>
  <si>
    <t>color variety/shading; more charts/points/lines/shapes/elements; more parameters/variables</t>
  </si>
  <si>
    <t>shapes --&gt; mark.shape [data_area] | variables --&gt; content.data [data_area] | colors --&gt; property.color [overall]</t>
  </si>
  <si>
    <t>excessive_shape_variety @ shapes (mark.shape) [+] | too_many_variables @ variables (content.data) [+] | excessive_color_count @ colors (property.color) [+]</t>
  </si>
  <si>
    <t>shapes(mark.shape) --increases_visual_clutter--&gt; colors(property.color) [+] | variables(content.data) --raises_cognitive_load--&gt; shapes(mark.shape) [+] | colors(property.color) --encodes_multiple--&gt; variables(content.data) [+]</t>
  </si>
  <si>
    <t>v490_n7419_13_f3.png</t>
  </si>
  <si>
    <t>The image on the right is easier to take in information and not as cluttered as the one on the left.</t>
  </si>
  <si>
    <t>organized/structured; easier to process/visualize</t>
  </si>
  <si>
    <t>low_visual_clutter @ chart (whole.visualization) [-] | easy_information_intake @ chart (whole.visualization) [-] | uncluttered_layout @ data_area (structure.region) [-]</t>
  </si>
  <si>
    <t>data_area(structure.region) --reduces_cognitive_load_of--&gt; chart(whole.visualization) [-]</t>
  </si>
  <si>
    <t>InfoVisJ.1032.5.png</t>
  </si>
  <si>
    <t>The layout of the grid and point position. More colours present. y-axis variable hard to make sense of</t>
  </si>
  <si>
    <t>grid layout; shape position; y-axis meaning unclear; color variety/arrangement/distribution</t>
  </si>
  <si>
    <t>2D/3D; color variety/shading; shape position; unclear meaning/confusing</t>
  </si>
  <si>
    <t>grid --&gt; structure.grid [data_area] | data_points --&gt; mark.point [data_area] | color_encoding --&gt; property.color [data_area] | y_axis --&gt; furniture.axes [axes]</t>
  </si>
  <si>
    <t>complex_grid_layout @ grid (structure.grid) [+] | varied_point_positions @ data_points (mark.point) [+] | multiple_colors_used @ color_encoding (property.color) [+] | variable_hard_to_interpret @ y_axis (furniture.axes) [+]</t>
  </si>
  <si>
    <t>data_points(mark.point) --distributed_across(raw:scattered_across)--&gt; grid(structure.grid) [+] | color_encoding(property.color) --encodes_variation_in--&gt; data_points(mark.point) [+] | y_axis(furniture.axes) --increases_effort(raw:increases_cognitive_load_for)--&gt; data_points(mark.point) [+]</t>
  </si>
  <si>
    <t>InfoVisJ.629.8.png</t>
  </si>
  <si>
    <t>i thought on the right, there are 4 or 5 axes: x, y, color, circle , white circle around the shape.</t>
  </si>
  <si>
    <t>shapes; shapes and lines; more title/axis/label; title/axis/label/descriptions; unclear colormaps</t>
  </si>
  <si>
    <t>circle --&gt; mark.point [data_area] | shape --&gt; mark.shape [data_area] | axes --&gt; furniture.axes [axes] | x_axis --&gt; furniture.axes [axes] | y_axis --&gt; furniture.axes [axes] | color --&gt; property.color [data_area]</t>
  </si>
  <si>
    <t>circular_mark_present @ circle (mark.point) [+] | complex_graphical_form @ shape (mark.shape) [+] | multiple_axes_four_or_five @ axes (furniture.axes) [+] | straightforward_x_axis @ x_axis (furniture.axes) [-] | additional_y_dimension @ y_axis (furniture.axes) [+] | color_encoding_used @ color (property.color) [+]</t>
  </si>
  <si>
    <t>circle(mark.point) --contributes_to--&gt; shape(mark.shape) [+] | axes(furniture.axes) --increases_cognitive_load_via--&gt; y_axis(furniture.axes) [+] | color(property.color) --encodes_data_in--&gt; circle(mark.point) [+]</t>
  </si>
  <si>
    <t>v488_n7412_8_f1.png</t>
  </si>
  <si>
    <t>well on the right is a picture of the pacific ocean, its easily noticable and it has labels for islands. it is something i am familiar with.</t>
  </si>
  <si>
    <t>title/axis/label/descriptions; domain-specific concepts (e.g., chemical, biology, map); familiar representation</t>
  </si>
  <si>
    <t>map --&gt; whole.visualization [overall] | labels --&gt; text.label [data_area] | pacific_ocean --&gt; structure.region [data_area]</t>
  </si>
  <si>
    <t>aids_interpretation @ labels (text.label) [-] | familiar_geographic_region @ pacific_ocean (structure.region) [-] | recognizable_visual_schema @ map (whole.visualization) [-]</t>
  </si>
  <si>
    <t>labels(text.label) --reduces_ambiguity_of--&gt; map(whole.visualization) [-] | pacific_ocean(structure.region) --provides_familiar_context_for--&gt; map(whole.visualization) [-]</t>
  </si>
  <si>
    <t>visMost460.png</t>
  </si>
  <si>
    <t>There are a lot more aspects to keep track of in the highlighted one. the other does that and more.</t>
  </si>
  <si>
    <t>many_data_aspects_present @ visualization (whole.visualization) [+]</t>
  </si>
  <si>
    <t>whoQ30_1.png</t>
  </si>
  <si>
    <t>high_point_count @ data_points (mark.point) [+]</t>
  </si>
  <si>
    <t>v490_n7419_7_f3.png</t>
  </si>
  <si>
    <t>4 axes in one graph is too much no legends, two graphs</t>
  </si>
  <si>
    <t>multiple features/elements/graphs; lack of/not enough axis labels/legend/annotations/context; more title/axis/label</t>
  </si>
  <si>
    <t>graph_panel_left --&gt; whole.visualization [data_area] | graph_panel_right --&gt; whole.visualization [data_area] | axes --&gt; furniture.axes [axes] | legend --&gt; furniture.legend [legend]</t>
  </si>
  <si>
    <t>one_of_two_panels @ graph_panel_left (whole.visualization) [+] | one_of_two_panels @ graph_panel_right (whole.visualization) [+] | four_axes_present @ axes (furniture.axes) [+] | no_legend_provided @ legend (furniture.legend) [+]</t>
  </si>
  <si>
    <t>graph_panel_left(whole.visualization) --paired_with--&gt; graph_panel_right(whole.visualization) [+] | axes(furniture.axes) --spans_across--&gt; graph_panel_left(whole.visualization) [+] | axes(furniture.axes) --spans_across--&gt; graph_panel_right(whole.visualization) [+] | legend(furniture.legend) --absent_from--&gt; graph_panel_left(whole.visualization) [+]</t>
  </si>
  <si>
    <t>VisC.501.7(2).png</t>
  </si>
  <si>
    <t>a lot of different colours, details, no clear sceme</t>
  </si>
  <si>
    <t>more detailed/things; unfamiliar concepts/patterns; color variety/arrangement/distribution; texture details</t>
  </si>
  <si>
    <t>color variety/shading; domain-specific concepts (e.g., chemical, biology, map); much/little data/info; symbols</t>
  </si>
  <si>
    <t>chart --&gt; whole.visualization [overall] | color_scheme --&gt; property.color [data_area] | details --&gt; content.detail [data_area]</t>
  </si>
  <si>
    <t>many_different_colors @ color_scheme (property.color) [+] | no_clear_color_scheme @ color_scheme (property.color) [+] | high_detail_density @ details (content.detail) [+]</t>
  </si>
  <si>
    <t>color_scheme(property.color) --increases_clutter_in--&gt; chart(whole.visualization) [+] | details(content.detail) --raises_cognitive_load_of--&gt; chart(whole.visualization) [+]</t>
  </si>
  <si>
    <t>v485_n7396_14_f4.png</t>
  </si>
  <si>
    <t>-The image on the left is more involved in terms of what would be required to interpret it. -There's a lot more happening, visually, in terms of the level of fine detail, in the image on the left. -The preciseness of the various aspects of the image on the left is more intricate than the one on the right.</t>
  </si>
  <si>
    <t>fine/layered details; precision of aspect; more intricate; more to read/analyze/understand</t>
  </si>
  <si>
    <t>easy/hard to interpret; much/little data/info; shape point of interest; take longer to interpret</t>
  </si>
  <si>
    <t>chart --&gt; whole.visualization [overall] | data_elements --&gt; content.data [data_area] | visual_marks --&gt; mark.element [data_area] | annotations --&gt; text.annotation [annotation]</t>
  </si>
  <si>
    <t>fine_detail_present @ data_elements (content.data) [+] | intricate_visual_structure @ visual_marks (mark.element) [+] | highly_involved_composition @ chart (whole.visualization) [+] | precise_aspect_labeling @ annotations (text.annotation) [+] | multiple_precise_components @ data_elements (content.data) [+]</t>
  </si>
  <si>
    <t>data_elements(content.data) --contributes_to_intricacy_of--&gt; chart(whole.visualization) [+] | visual_marks(mark.element) --requires_careful_interpretation_in--&gt; chart(whole.visualization) [+] | annotations(text.annotation) --adds_precision_detail_to--&gt; chart(whole.visualization) [+]</t>
  </si>
  <si>
    <t>InfoVisJ.1161.6.png</t>
  </si>
  <si>
    <t>The one with 2 dimensions.</t>
  </si>
  <si>
    <t>2D/3D</t>
  </si>
  <si>
    <t>two_dimensional_structure @ visualization (whole.visualization) [-]</t>
  </si>
  <si>
    <t>SciVisJ.1580.11(2).png</t>
  </si>
  <si>
    <t>The left image was easy to decipher, showing a zoom in on a certain area with a simple bar to indicate the measurement. It is a clear image that would help at a glance if you knew the context.</t>
  </si>
  <si>
    <t>organized/structured; bars as individual lines; easy to interpret/read/understand</t>
  </si>
  <si>
    <t>2D/3D; easy/hard to interpret; shapes and lines</t>
  </si>
  <si>
    <t>left_image --&gt; structure.panel [data_area] | zoom_area --&gt; mark.area [data_area] | measurement_bar --&gt; mark.bar [annotation] | overall_image --&gt; whole.visualization [overall]</t>
  </si>
  <si>
    <t>easy_to_decipher @ left_image (structure.panel) [-] | zoomed_in_region @ zoom_area (mark.area) [-] | simple_measurement_indicator @ measurement_bar (mark.bar) [-] | clear_at_a_glance @ overall_image (whole.visualization) [-] | requires_prior_context @ overall_image (whole.visualization) [+]</t>
  </si>
  <si>
    <t>left_image(structure.panel) --contains--&gt; zoom_area(mark.area) [-] | zoom_area(mark.area) --annotated_by--&gt; measurement_bar(mark.bar) [-] | overall_image(whole.visualization) --interpretable_only_with--&gt; overall_image(whole.visualization) [+]</t>
  </si>
  <si>
    <t>economist_daily_chart_208.png</t>
  </si>
  <si>
    <t>The image I chose had more colors, shapes, text, and data (numbers, etc.).</t>
  </si>
  <si>
    <t>shapes; amount of words/context/numbers; word/text/sentence; color variety/arrangement/distribution</t>
  </si>
  <si>
    <t>chart_shapes --&gt; whole.visualization [data_area] | numbers --&gt; content.number [axes] | text_labels --&gt; text.label [overall] | color_encoding --&gt; property.color [data_area]</t>
  </si>
  <si>
    <t>multiple_shape_types @ chart_shapes (whole.visualization) [+] | numerous_numeric_values @ numbers (content.number) [+] | high_text_density @ text_labels (text.label) [+] | multiple_colors_used @ color_encoding (property.color) [+]</t>
  </si>
  <si>
    <t>chart_shapes(whole.visualization) --increases_visual_load_with--&gt; color_encoding(property.color) [+] | text_labels(text.label) --accompanies--&gt; numbers(content.number) [+] | color_encoding(property.color) --differentiates--&gt; chart_shapes(whole.visualization) [+]</t>
  </si>
  <si>
    <t>InfoVisJ.1229.6.png</t>
  </si>
  <si>
    <t>Less visually familiar</t>
  </si>
  <si>
    <t>unfamiliar_visual_form @ visualization (whole.visualization) [+]</t>
  </si>
  <si>
    <t>v485_n7397_5_f1.png</t>
  </si>
  <si>
    <t>Items in the graphic are not as clear and smaller, nor do they show some kind of pattern, contrary to the other graphic.</t>
  </si>
  <si>
    <t>small; unfamiliar concepts/patterns; distracting/confusing/unclear</t>
  </si>
  <si>
    <t>distracting/confusing/unclear; domain-specific concepts (e.g., chemical, biology, map); word rotation/small font size</t>
  </si>
  <si>
    <t>chart --&gt; whole.visualization [overall] | data_elements --&gt; content.data [data_area] | pattern --&gt; structure.pattern [data_area]</t>
  </si>
  <si>
    <t>small_visual_size @ chart (whole.visualization) [+] | unclear_encoding @ data_elements (content.data) [+] | no_discernible_pattern @ pattern (structure.pattern) [+]</t>
  </si>
  <si>
    <t>chart(whole.visualization) --lacks_clear--&gt; pattern(structure.pattern) [+] | data_elements(content.data) --rendered_with_reduced--&gt; chart(whole.visualization) [+]</t>
  </si>
  <si>
    <t>VASTJ.1683.4(2).png</t>
  </si>
  <si>
    <t>There is no titles that point what exactly we are looking at.</t>
  </si>
  <si>
    <t>missing_title @ chart (whole.visualization) [+]</t>
  </si>
  <si>
    <t>SciVisJ.561.7.png</t>
  </si>
  <si>
    <t>Unfamiliar design Cluttered "zoom"</t>
  </si>
  <si>
    <t>dense/cluttered data/info; unfamiliar concepts/patterns</t>
  </si>
  <si>
    <t>domain-specific concepts (e.g., chemical, biology, map); overlapping shapes/colors/lines</t>
  </si>
  <si>
    <t>chart --&gt; whole.visualization [overall] | layout --&gt; structure.layout [data_area]</t>
  </si>
  <si>
    <t>visually_cluttered @ chart (whole.visualization) [+] | unfamiliar_design @ layout (structure.layout) [+]</t>
  </si>
  <si>
    <t>layout(structure.layout) --increases_effort(raw:increases_cognitive_load_of)--&gt; chart(whole.visualization) [+]</t>
  </si>
  <si>
    <t>v485_n7400_14_f2.png</t>
  </si>
  <si>
    <t>more charts/points/lines/shapes/elements; too many points/lines/shapes/elements; word rotation/small font size</t>
  </si>
  <si>
    <t>more charts/points/lines/shapes/elements; word rotation/small font size</t>
  </si>
  <si>
    <t>chart --&gt; whole.visualization [overall] | shapes --&gt; mark.shape [data_area] | text_labels --&gt; text.label [overall]</t>
  </si>
  <si>
    <t>too_many_elements @ chart (whole.visualization) [+] | too_many_shapes @ shapes (mark.shape) [+] | small_text_size @ text_labels (text.label) [+]</t>
  </si>
  <si>
    <t>shapes(mark.shape) --contributes_to_clutter_in--&gt; chart(whole.visualization) [+] | text_labels(text.label) --increases_cognitive_load_in--&gt; chart(whole.visualization) [+]</t>
  </si>
  <si>
    <t>InfoVisJ.647.13(2).png</t>
  </si>
  <si>
    <t>How fast I can comprehend the content</t>
  </si>
  <si>
    <t>fast_content_comprehension @ visualization (whole.visualization) [-]</t>
  </si>
  <si>
    <t>economist_daily_chart_372.png</t>
  </si>
  <si>
    <t>amount of / too many colors; looks random/messy/lack structure</t>
  </si>
  <si>
    <t>chart --&gt; whole.visualization [overall] | entities --&gt; content.data [data_area] | labels --&gt; text.label [data_area] | shapes --&gt; mark.shape [data_area] | colors --&gt; property.color [legend]</t>
  </si>
  <si>
    <t>disorganised_layout @ chart (whole.visualization) [+] | multiple_entity_types @ entities (content.data) [+] | numbers_on_entities @ labels (text.label) [+] | multiple_unique_shapes @ shapes (mark.shape) [+] | multiple_unique_colors @ colors (property.color) [+]</t>
  </si>
  <si>
    <t>entities(content.data) --encoded_with--&gt; shapes(mark.shape) [+] | entities(content.data) --encoded_with--&gt; colors(property.color) [+] | labels(text.label) --describes(raw:annotates)--&gt; entities(content.data) [+] | entities(content.data) --contributes_to_clutter_in--&gt; chart(whole.visualization) [+]</t>
  </si>
  <si>
    <t>InfoVisJ.599.10(2).png</t>
  </si>
  <si>
    <t>chart --&gt; whole.visualization [overall] | data_elements --&gt; content.data [data_area] | parameters --&gt; content.data [axes] | color_encoding --&gt; property.color [legend]</t>
  </si>
  <si>
    <t>high_element_count @ data_elements (content.data) [+] | multiple_parameters_present @ parameters (content.data) [+] | many_colors_used @ color_encoding (property.color) [+] | generally_complex_layout @ chart (whole.visualization) [+]</t>
  </si>
  <si>
    <t>data_elements(content.data) --increases_clutter_in--&gt; chart(whole.visualization) [+] | color_encoding(property.color) --encodes_multiple_parameters_of--&gt; data_elements(content.data) [+] | parameters(content.data) --raises_cognitive_load_of--&gt; chart(whole.visualization) [+]</t>
  </si>
  <si>
    <t>InfoVisJ.2556.7(2).png</t>
  </si>
  <si>
    <t>The image looks more difficult to comprehend at first glance.</t>
  </si>
  <si>
    <t>high_initial_cognitive_load @ visualization (whole.visualization) [+]</t>
  </si>
  <si>
    <t>VASTJ.51.7.png</t>
  </si>
  <si>
    <t>intuitive; more effort/reading/detailed analysis; take longer to interpret</t>
  </si>
  <si>
    <t>easy/hard to interpret; take longer to interpret</t>
  </si>
  <si>
    <t>visualization --&gt; whole.visualization [overall] | presentation_logic --&gt; structure.layout [overall] | key_patterns --&gt; structure.pattern [data_area] | information_content --&gt; content.data [data_area]</t>
  </si>
  <si>
    <t>initially_visually_attractive @ visualization (whole.visualization) [-] | invites_deeper_analysis @ visualization (whole.visualization) [-] | high_cognitive_load_to_decode @ presentation_logic (structure.layout) [+] | complex_presentation_logic @ presentation_logic (structure.layout) [+] | difficult_signal_noise_separation @ key_patterns (structure.pattern) [+] | high_information_processing_effort @ information_content (content.data) [+]</t>
  </si>
  <si>
    <t>visualization(whole.visualization) --requires_extended_time_to_understand--&gt; presentation_logic(structure.layout) [+] | visualization(whole.visualization) --obscures_key_takeaway_within--&gt; key_patterns(structure.pattern) [+] | information_content(content.data) --demands_effort_to_extract_from--&gt; key_patterns(structure.pattern) [+]</t>
  </si>
  <si>
    <t>InfoVisJ.621.9.png</t>
  </si>
  <si>
    <t>simple, bare and not much is going in there that you wouldn't understand in one read.</t>
  </si>
  <si>
    <t>low_visual_activity @ visualization (whole.visualization) [-]</t>
  </si>
  <si>
    <t>wsj200.png</t>
  </si>
  <si>
    <t>more reading/interpretation/understanding; more to read/analyze/understand; take longer to interpret</t>
  </si>
  <si>
    <t>chart --&gt; whole.visualization [overall] | data_elements --&gt; content.data [data_area] | axes --&gt; furniture.axes [axes] | labels --&gt; text.label [annotation] | legend --&gt; furniture.legend [legend]</t>
  </si>
  <si>
    <t>high_information_volume @ data_elements (content.data) [+] | information_spread_across_image @ data_elements (content.data) [+] | requires_contextual_evaluation @ chart (whole.visualization) [+] | difficult_data_interpretation @ chart (whole.visualization) [+] | moderate_text_density @ labels (text.label) [-]</t>
  </si>
  <si>
    <t>data_elements(content.data) --distributed_across(raw:spreads_across)--&gt; chart(whole.visualization) [+] | chart(whole.visualization) --demands_extended--&gt; axes(furniture.axes) [+] | labels(text.label) --aids_interpretation(raw:aids_interpretation_of)--&gt; data_elements(content.data) [-]</t>
  </si>
  <si>
    <t>VASTC.159.2.png</t>
  </si>
  <si>
    <t>The image on the right is a lot more simple because there are only four highlighted words from a textbook that are also amplified so that they can be seen more clearly. Almost anything would be more complex than this image.</t>
  </si>
  <si>
    <t>amount of words/context/numbers; highlighted words; more texts/words</t>
  </si>
  <si>
    <t>amount of words/context/numbers; labels/axes/legends</t>
  </si>
  <si>
    <t>highlighted_words --&gt; text.label [data_area]</t>
  </si>
  <si>
    <t>only_four_highlighted @ highlighted_words (text.label) [-]</t>
  </si>
  <si>
    <t>VASTJ.1612.1(3).png</t>
  </si>
  <si>
    <t>The first image is kinda difficult to understand and has many elements intermingled</t>
  </si>
  <si>
    <t>messy/mixed up/noisy/intermingled elements; hard to interpret/read/understand</t>
  </si>
  <si>
    <t>easy/hard to interpret; overlapping shapes/colors/lines</t>
  </si>
  <si>
    <t>many_elements_intermingled @ data_elements (content.data) [+] | difficult_to_understand @ chart (whole.visualization) [+]</t>
  </si>
  <si>
    <t>data_elements(content.data) --contributes_to_difficulty_of--&gt; chart(whole.visualization) [+]</t>
  </si>
  <si>
    <t>InfoVisJ.1169.5(2).png</t>
  </si>
  <si>
    <t>The right one has too many lines, you have to check from each word where every line goes.</t>
  </si>
  <si>
    <t>more charts/points/lines/shapes/elements; indistinguishable/unintuitive lines; word/text/sentence</t>
  </si>
  <si>
    <t>amount of words/context/numbers; more charts/points/lines/shapes/elements; shapes and lines</t>
  </si>
  <si>
    <t>lines --&gt; mark.line [data_area] | text_labels --&gt; text.label [axes] | chart --&gt; whole.visualization [overall]</t>
  </si>
  <si>
    <t>too_many_lines @ lines (mark.line) [+] | difficult_to_trace_paths @ lines (mark.line) [+] | text_word_present @ text_labels (text.label) [+] | high_visual_clutter @ chart (whole.visualization) [+]</t>
  </si>
  <si>
    <t>lines(mark.line) --overwhelms--&gt; chart(whole.visualization) [+] | text_labels(text.label) --describes(raw:labels)--&gt; lines(mark.line) [+] | lines(mark.line) --obscures_destination_of--&gt; chart(whole.visualization) [+]</t>
  </si>
  <si>
    <t>InfoVisJ.621.2.png</t>
  </si>
  <si>
    <t>whilst the other one only has 2 (title and link).</t>
  </si>
  <si>
    <t>many points/lines/shapes/elements; -; title/axis/label/descriptions</t>
  </si>
  <si>
    <t>chart --&gt; whole.visualization [overall] | link --&gt; structure.link [data_area] | title --&gt; text.title [title]</t>
  </si>
  <si>
    <t>only_two_elements @ chart (whole.visualization) [-] | single_link_present @ link (structure.link) [-] | title_present @ title (text.title) [-]</t>
  </si>
  <si>
    <t>link(structure.link) --contributes_to--&gt; chart(whole.visualization) [-] | title(text.title) --describes(raw:labels)--&gt; chart(whole.visualization) [-]</t>
  </si>
  <si>
    <t>InfoVisJ.2412.17(2).png</t>
  </si>
  <si>
    <t>I have to read every single item to understand the relationship.</t>
  </si>
  <si>
    <t>visualization --&gt; whole.visualization [overall] | text_items --&gt; text.label [data_area]</t>
  </si>
  <si>
    <t>requires_reading_each_item @ text_items (text.label) [+] | high_reading_demand @ text_items (text.label) [+]</t>
  </si>
  <si>
    <t>visualization(whole.visualization) --requires_reading_to_understand--&gt; text_items(text.label) [+]</t>
  </si>
  <si>
    <t>VASTJ.1763.6.png</t>
  </si>
  <si>
    <t>Colours variety, hard to read</t>
  </si>
  <si>
    <t>hard to read; color variety/arrangement/distribution</t>
  </si>
  <si>
    <t>visualization --&gt; whole.visualization [overall] | color_encoding --&gt; property.color [data_area] | text_labels --&gt; text.label [axes]</t>
  </si>
  <si>
    <t>hard_to_read @ text_labels (text.label) [+] | high_color_variety @ color_encoding (property.color) [+]</t>
  </si>
  <si>
    <t>color_encoding(property.color) --increases_effort(raw:increases_cognitive_load_of)--&gt; visualization(whole.visualization) [+] | text_labels(text.label) --contributes_to_clutter_in--&gt; visualization(whole.visualization) [+]</t>
  </si>
  <si>
    <t>VASTC.183.14(1).png</t>
  </si>
  <si>
    <t>I can sort of understand Image 2 because it has words that I recognize.</t>
  </si>
  <si>
    <t>recognizable objects</t>
  </si>
  <si>
    <t>familiar_recognizable_words @ text_labels (text.label) [-]</t>
  </si>
  <si>
    <t>InfoVisJ.953.10.png</t>
  </si>
  <si>
    <t>I chose the second picture because the names of the countries were familiar and easier to process. I could understand the image and therefore it was less complex. The indications "lowest" and "highest" helped me to understand why there are two colors in the second image.</t>
  </si>
  <si>
    <t>indication; domain-specific concepts (e.g., chemical, biology, map); two colors; easier to process/visualize</t>
  </si>
  <si>
    <t>domain-specific concepts (e.g., chemical, biology, map); easy/hard to interpret; two colors; unclear meaning/confusing</t>
  </si>
  <si>
    <t>chart --&gt; whole.visualization [overall] | country_labels --&gt; text.label [axes] | color_encoding --&gt; property.color [data_area] | indicators --&gt; mark.symbol [data_area]</t>
  </si>
  <si>
    <t>country_names_labeled @ country_labels (text.label) [-] | only_two_colors_used @ color_encoding (property.color) [-] | clear_indications_present @ indicators (mark.symbol) [-] | easier_to_process @ chart (whole.visualization) [-]</t>
  </si>
  <si>
    <t>color_encoding(property.color) --simplifies(raw:reduces_complexity_of)--&gt; chart(whole.visualization) [-] | country_labels(text.label) --aids_interpretation(raw:aids_interpretation_of)--&gt; chart(whole.visualization) [-] | indicators(mark.symbol) --aids_interpretation(raw:supports_readability_of)--&gt; chart(whole.visualization) [-]</t>
  </si>
  <si>
    <t>InfoVisJ.1190.8.png</t>
  </si>
  <si>
    <t>There are a bunch of words mixed in there that makes so difficult to read each one of them with no color difference or font.; rotation of words different word sizes</t>
  </si>
  <si>
    <t>different font/word sizes/structure; lack of/not enough axis labels/legend/annotations/context; more labels/context; word rotation/small font size; no color difference; hard to interpret/read/understand/differentiate</t>
  </si>
  <si>
    <t>color contrast/clarity; easy/hard to interpret; labels/axes/legends; more labels/context; word rotation/small font size</t>
  </si>
  <si>
    <t>word_cloud --&gt; whole.visualization [data_area] | text_labels --&gt; text.label [data_area] | font_styling --&gt; property.font_style [data_area] | color_scheme --&gt; property.color [overall]</t>
  </si>
  <si>
    <t>dense_word_mixture @ word_cloud (whole.visualization) [+] | rotated_word_orientations @ word_cloud (whole.visualization) [+] | difficult_to_read @ text_labels (text.label) [+] | varying_word_sizes @ text_labels (text.label) [+] | no_font_differentiation @ font_styling (property.font_style) [+] | no_color_difference @ color_scheme (property.color) [+]</t>
  </si>
  <si>
    <t>word_cloud(whole.visualization) --causes_high_cognitive_load--&gt; text_labels(text.label) [+] | font_styling(property.font_style) --contributes_to_clutter_in--&gt; word_cloud(whole.visualization) [+] | color_scheme(property.color) --reduces_distinguishability_in--&gt; text_labels(text.label) [+]</t>
  </si>
  <si>
    <t>InfoVisJ.2556.8.png</t>
  </si>
  <si>
    <t>I think the second image is not that complex because u can easily understand it; The one on the right seems like a simple map; many writings and squeezed writings.; the left one seemed more complex.</t>
  </si>
  <si>
    <t>cluttered labels/annotations; title/axis/label/descriptions; domain-specific concepts (e.g., chemical, biology, map); easy to interpret/read/understand</t>
  </si>
  <si>
    <t>domain-specific concepts (e.g., chemical, biology, map); easy/hard to interpret; labels/axes/legends; overlapping shapes/colors/lines</t>
  </si>
  <si>
    <t>map --&gt; whole.visualization [overall] | text_labels --&gt; text.label [data_area] | layout --&gt; structure.layout [overall]</t>
  </si>
  <si>
    <t>many_text_elements @ text_labels (text.label) [+] | squeezed_dense_writing @ text_labels (text.label) [+] | simple_map_structure @ map (whole.visualization) [-] | easily_understandable @ layout (structure.layout) [-]</t>
  </si>
  <si>
    <t>text_labels(text.label) --increases_clutter_on--&gt; map(whole.visualization) [+] | map(whole.visualization) --supports_easy_interpretation_despite--&gt; text_labels(text.label) [-]</t>
  </si>
  <si>
    <t>MorphableWordClouds5.png</t>
  </si>
  <si>
    <t>The image not highlighted seemed to be simply a chart showing frequency of words used. The bigger the word, the most often the use.</t>
  </si>
  <si>
    <t>word frequency; word rotation/small font size; a specific technique, e.g., bar, pie, circle</t>
  </si>
  <si>
    <t>amount of words/context/numbers; domain-specific concepts (e.g., chemical, biology, map); word rotation/small font size</t>
  </si>
  <si>
    <t>word_cloud --&gt; whole.visualization [overall] | large_words --&gt; text.label [data_area] | small_words --&gt; text.label [data_area] | word_frequency --&gt; content.data [data_area]</t>
  </si>
  <si>
    <t>shows_word_frequency @ word_cloud (whole.visualization) [-] | larger_size_encodes_higher_frequency @ large_words (text.label) [-] | smaller_size_encodes_lower_frequency @ small_words (text.label) [-] | frequency_directly_readable @ word_frequency (content.data) [-]</t>
  </si>
  <si>
    <t>large_words(text.label) --encodes_higher_frequency_than--&gt; small_words(text.label) [-] | word_cloud(whole.visualization) --communicates_frequency_via--&gt; word_frequency(content.data) [-]</t>
  </si>
  <si>
    <t>MorphableWordClouds8.png</t>
  </si>
  <si>
    <t>Too much information.; The image has a lot of writing to it; it is not consistent; the shape is hard to read from</t>
  </si>
  <si>
    <t>too much data/info; understand/read shapes; amount of words/context/numbers; inconsistent; hard to read shape</t>
  </si>
  <si>
    <t>amount of words/context/numbers; distracting/confusing/unclear; easy/hard to interpret; much/little data/info; understand/read shapes</t>
  </si>
  <si>
    <t>word_cloud --&gt; whole.visualization [overall] | text_labels --&gt; text.label [data_area] | shape_outline --&gt; mark.shape [data_area]</t>
  </si>
  <si>
    <t>excessive_information_volume @ word_cloud (whole.visualization) [+] | high_density_writing @ text_labels (text.label) [+] | inconsistent_text_arrangement @ text_labels (text.label) [+] | hard_to_read_shape @ shape_outline (mark.shape) [+] | high_cognitive_load @ word_cloud (whole.visualization) [+]</t>
  </si>
  <si>
    <t>text_labels(text.label) --clutters--&gt; shape_outline(mark.shape) [+] | shape_outline(mark.shape) --obscured_by--&gt; text_labels(text.label) [+] | text_labels(text.label) --lacks_consistency_with--&gt; shape_outline(mark.shape) [+]</t>
  </si>
  <si>
    <t>InfoVisJ.2556.10.png</t>
  </si>
  <si>
    <t>1. Text not easily readable. 2. No regularity in design. (empty spaces for example). 3. Totally arbitrary color application. 4. No clear visual "cut off points", the frames are fading out. This looks "messy" and confusing.</t>
  </si>
  <si>
    <t>no clear indication; hard to read; unfamiliar concepts/patterns; ambiguous/confusing colors; irregular; unclear meaning/confusing</t>
  </si>
  <si>
    <t>color contrast/clarity; distracting/confusing/unclear; domain-specific concepts (e.g., chemical, biology, map); easy/hard to interpret; unclear meaning/confusing</t>
  </si>
  <si>
    <t>text_labels --&gt; text.label [axes] | layout --&gt; structure.layout [overall] | color_encoding --&gt; property.color [data_area] | data_elements --&gt; content.data [data_area] | empty_spaces --&gt; structure.background [overall]</t>
  </si>
  <si>
    <t>not_easily_readable @ text_labels (text.label) [+] | no_regularity_in_design @ layout (structure.layout) [+] | totally_arbitrary_color_application @ color_encoding (property.color) [+] | no_clear_visual_cutoff_points @ data_elements (content.data) [+] | messy_and_confusing @ layout (structure.layout) [+] | irregular_empty_spaces @ empty_spaces (structure.background) [+]</t>
  </si>
  <si>
    <t>color_encoding(property.color) --increases_confusion_in--&gt; layout(structure.layout) [+] | empty_spaces(structure.background) --contributes_to_irregularity_of--&gt; layout(structure.layout) [+] | data_elements(content.data) --lacks_clear_boundaries_within--&gt; layout(structure.layout) [+]</t>
  </si>
  <si>
    <t>InfoVisJ.647.7(2).png</t>
  </si>
  <si>
    <t>the right one is more complex because it is not tidy like the other one</t>
  </si>
  <si>
    <t>looks random/messy/lack structure</t>
  </si>
  <si>
    <t>untidy_disorganized_layout @ visualization (whole.visualization) [+]</t>
  </si>
  <si>
    <t>VASTC.91.5(1).png</t>
  </si>
  <si>
    <t>Lots of information to go through while keeping track of colour and position.; The words selected, the color scheme of the wording and the structure of the letters. Compared to the map graph, it look more like a heat graph to me.</t>
  </si>
  <si>
    <t>much/more data/info/info spread; shape position; different font/word sizes/structure; lack of meaning; a specific technique; domain-specific concepts (e.g., chemical, biology, map); unclear colormaps</t>
  </si>
  <si>
    <t>color contrast/clarity; domain-specific concepts (e.g., chemical, biology, map); much/little data/info; shape position; unclear meaning/confusing; word rotation/small font size</t>
  </si>
  <si>
    <t>heat_graph --&gt; whole.visualization [data_area] | map_graph --&gt; whole.visualization [data_area] | text_labels --&gt; text.label [axes] | color_scheme --&gt; property.color [overall] | layout_position --&gt; structure.layout [overall]</t>
  </si>
  <si>
    <t>dense_data_encoding @ heat_graph (whole.visualization) [+] | complex_grid_structure @ heat_graph (whole.visualization) [+] | spatial_complexity @ map_graph (whole.visualization) [+] | requires_geographic_knowledge @ map_graph (whole.visualization) [+] | complex_letter_structure @ text_labels (text.label) [+] | many_words_selected @ text_labels (text.label) [+] | varied_color_wording @ color_scheme (property.color) [+] | multiple_colors_used @ color_scheme (property.color) [+] | complex_element_positioning @ layout_position (structure.layout) [+]</t>
  </si>
  <si>
    <t>heat_graph(whole.visualization) --combined_with--&gt; map_graph(whole.visualization) [+] | color_scheme(property.color) --applied_to--&gt; text_labels(text.label) [+] | layout_position(structure.layout) --increases_effort(raw:increases_cognitive_load_of)--&gt; heat_graph(whole.visualization) [+] | heat_graph(whole.visualization) --contributes_to--&gt; layout_position(structure.layout) [+]</t>
  </si>
  <si>
    <t>MorphableWordClouds12.png</t>
  </si>
  <si>
    <t>Design Order of words Ease of understanding</t>
  </si>
  <si>
    <t>order of words; easy to interpret/read/understand</t>
  </si>
  <si>
    <t>word_cloud --&gt; whole.visualization [overall] | words --&gt; text.label [data_area]</t>
  </si>
  <si>
    <t>non_linear_word_order @ words (text.label) [+] | difficult_to_interpret @ word_cloud (whole.visualization) [+]</t>
  </si>
  <si>
    <t>words(text.label) --arranged_in_complex_order--&gt; word_cloud(whole.visualization) [+]</t>
  </si>
  <si>
    <t>InfoVisJ.1137.1.png</t>
  </si>
  <si>
    <t>here you can see words and thats a bit easier to understand</t>
  </si>
  <si>
    <t>clear title/axis/label; easy to understand</t>
  </si>
  <si>
    <t>text_labels --&gt; text.label [data_area] | visualization --&gt; whole.visualization [overall]</t>
  </si>
  <si>
    <t>words_visible @ text_labels (text.label) [-] | easier_to_understand @ visualization (whole.visualization) [-]</t>
  </si>
  <si>
    <t>text_labels(text.label) --aids_interpretation(raw:aids_interpretation_of)--&gt; visualization(whole.visualization) [-]</t>
  </si>
  <si>
    <t>InfoVisJ.2556.10(2).png</t>
  </si>
  <si>
    <t>il.logic; The density of text - Hard to understand</t>
  </si>
  <si>
    <t>clear text arrangement/density; hard to interpret/read/understand; not intuitive/simple data</t>
  </si>
  <si>
    <t>clear text arrangement/density; distracting/confusing/unclear; easy/hard to interpret</t>
  </si>
  <si>
    <t>chart --&gt; whole.visualization [overall] | text_elements --&gt; text.label [axes] | layout_structure --&gt; structure.layout [overall]</t>
  </si>
  <si>
    <t>high_text_density @ text_elements (text.label) [+] | illogical_organization @ layout_structure (structure.layout) [-] | hard_to_understand @ chart (whole.visualization) [+]</t>
  </si>
  <si>
    <t>text_elements(text.label) --increases_effort(raw:increases_cognitive_load_of)--&gt; chart(whole.visualization) [+] | layout_structure(structure.layout) --undermines_clarity_of--&gt; chart(whole.visualization) [+]</t>
  </si>
  <si>
    <t>VASTC.59.11(2).png</t>
  </si>
  <si>
    <t>wording too small and unreadable</t>
  </si>
  <si>
    <t>unreadable; word rotation/small font size</t>
  </si>
  <si>
    <t>text_labels --&gt; text.label [overall] | chart --&gt; whole.visualization [overall]</t>
  </si>
  <si>
    <t>unreadable_text @ text_labels (text.label) [+] | wording_too_small @ text_labels (text.label) [+]</t>
  </si>
  <si>
    <t>text_labels(text.label) --increases_effort(raw:increases_cognitive_load_of)--&gt; chart(whole.visualization) [+]</t>
  </si>
  <si>
    <t>InfoVisJ.621.8.png</t>
  </si>
  <si>
    <t>Words are easier to understand - Football is a topic I am more familiar with</t>
  </si>
  <si>
    <t>word/text/sentence; domain-specific concepts (e.g., chemical, biology, map); familiar representation; easy to interpret/read/understand</t>
  </si>
  <si>
    <t>amount of words/context/numbers; domain-specific concepts (e.g., chemical, biology, map); easy/hard to interpret</t>
  </si>
  <si>
    <t>text_labels --&gt; text.label [overall] | football_imagery --&gt; content.domain [data_area]</t>
  </si>
  <si>
    <t>multiple_words_present @ text_labels (text.label) [+] | words_easier_to_understand @ text_labels (text.label) [-] | familiar_domain_context @ football_imagery (content.domain) [-] | football_theme_recognizable @ football_imagery (content.domain) [-]</t>
  </si>
  <si>
    <t>text_labels(text.label) --aids_interpretation(raw:aids_interpretation_of)--&gt; football_imagery(content.domain) [-] | football_imagery(content.domain) --reduces_complexity_via--&gt; text_labels(text.label) [-]</t>
  </si>
  <si>
    <t>InfoVisJ.691.6(3).png</t>
  </si>
  <si>
    <t>The colour of the images, the right one is more simplistic. There are none (pictures) on the right.</t>
  </si>
  <si>
    <t>little data/info; simple visual elements</t>
  </si>
  <si>
    <t>much/little data/info; simple visual elements</t>
  </si>
  <si>
    <t>no_complex_elements @ visualization (whole.visualization) [-] | simplistic_design @ visualization (whole.visualization) [-]</t>
  </si>
  <si>
    <t>visualization(whole.visualization) --requires_minimal--&gt; visualization(whole.visualization) [-]</t>
  </si>
  <si>
    <t>InfoVisJ.647.8(2).png</t>
  </si>
  <si>
    <t>1.Image size. 2. Small details in the image. 3. The number of shapes in the image</t>
  </si>
  <si>
    <t>fine/layered details; more charts/points/lines/shapes/elements</t>
  </si>
  <si>
    <t>shapes --&gt; mark.shape [data_area] | details --&gt; content.detail [overall]</t>
  </si>
  <si>
    <t>high_number_of_shapes @ shapes (mark.shape) [+] | shape_variety_aids_reading @ shapes (mark.shape) [-] | small_fine_details @ details (content.detail) [+]</t>
  </si>
  <si>
    <t>details(content.detail) --increases_cognitive_effort_in--&gt; shapes(mark.shape) [+]</t>
  </si>
  <si>
    <t>InfoVisJ.1149.17.png</t>
  </si>
  <si>
    <t>amount of text</t>
  </si>
  <si>
    <t>text_elements --&gt; text.label [overall]</t>
  </si>
  <si>
    <t>high_volume_of_text @ text_elements (text.label) [+] | text_aids_interpretation @ text_elements (text.label) [-]</t>
  </si>
  <si>
    <t>VASTC.91.5.png</t>
  </si>
  <si>
    <t>the image has more colors, it also has shapes.</t>
  </si>
  <si>
    <t>shapes; color variety/arrangement/distribution</t>
  </si>
  <si>
    <t>shapes --&gt; mark.shape [data_area] | colors --&gt; property.color [data_area]</t>
  </si>
  <si>
    <t>multiple_distinct_shapes @ shapes (mark.shape) [+] | high_color_variety @ colors (property.color) [+]</t>
  </si>
  <si>
    <t>MorphableWordClouds20.png</t>
  </si>
  <si>
    <t>a word with weight graph</t>
  </si>
  <si>
    <t>word/text/sentence; a specific technique</t>
  </si>
  <si>
    <t>word_cloud --&gt; whole.visualization [data_area] | weight_graph --&gt; whole.visualization [overall]</t>
  </si>
  <si>
    <t>multiple_words_present @ word_cloud (whole.visualization) [+] | simplifies_structure @ weight_graph (whole.visualization) [-]</t>
  </si>
  <si>
    <t>word_cloud(whole.visualization) --perceived_as_more_complex_than--&gt; weight_graph(whole.visualization) [+]</t>
  </si>
  <si>
    <t>InfoVisJ.2412.16(2).png</t>
  </si>
  <si>
    <t>The second image is simpler: It is monochrome, the main points are clearly visible at a glance and there does not seem to be much more meaning to it other than the frequency at which each word is used.</t>
  </si>
  <si>
    <t>word frequency; monochrome; easy to interpret/read/understand</t>
  </si>
  <si>
    <t>amount of words/context/numbers; easy/hard to interpret; monochrome</t>
  </si>
  <si>
    <t>word_cloud --&gt; whole.visualization [data_area] | word_frequency --&gt; content.data [data_area] | color_scheme --&gt; property.color [overall]</t>
  </si>
  <si>
    <t>encodes_word_frequency @ word_frequency (content.data) [-] | monochrome_palette @ color_scheme (property.color) [-] | clearly_visible_at_glance @ word_cloud (whole.visualization) [-]</t>
  </si>
  <si>
    <t>word_frequency(content.data) --reduces_clutter_via--&gt; color_scheme(property.color) [-] | word_cloud(whole.visualization) --communicates_quickly--&gt; word_frequency(content.data) [-]</t>
  </si>
  <si>
    <t>InfoVisJ.621.3.png</t>
  </si>
  <si>
    <t>I have chosen the image on the left to be more complex because of the amount of words in some columns, and the size of those words. Therefore, even if the one on the left is not extremely complex, it is more so than the one on the right.</t>
  </si>
  <si>
    <t>more texts/words; word rotation/small font size</t>
  </si>
  <si>
    <t>amount of words/context/numbers; word rotation/small font size</t>
  </si>
  <si>
    <t>columns --&gt; mark.bar [data_area] | words --&gt; text.label [data_area]</t>
  </si>
  <si>
    <t>high_word_count @ words (text.label) [+] | large_word_size @ words (text.label) [+]</t>
  </si>
  <si>
    <t>words(text.label) --densely_packed_in--&gt; columns(mark.bar) [+]</t>
  </si>
  <si>
    <t>CiteRivers5(1).png</t>
  </si>
  <si>
    <t>The left chart color separation helped to despite have more information, keep the visual simple.</t>
  </si>
  <si>
    <t>chart --&gt; whole.visualization [overall] | color_bands --&gt; mark.color_segment [data_area]</t>
  </si>
  <si>
    <t>distinct_color_separation @ color_bands (mark.color_segment) [-]</t>
  </si>
  <si>
    <t>color_bands(mark.color_segment) --reduces_clutter_in--&gt; chart(whole.visualization) [-]</t>
  </si>
  <si>
    <t>InfoVisJ.1169.1.png</t>
  </si>
  <si>
    <t>The amount of informations The size Reading</t>
  </si>
  <si>
    <t>much/more data/info/info spread; element sizes</t>
  </si>
  <si>
    <t>high_information_volume @ data_content (content.data) [+] | large_overall_size @ visualization (whole.visualization) [+]</t>
  </si>
  <si>
    <t>visualization(whole.visualization) --contains_dense--&gt; data_content(content.data) [+]</t>
  </si>
  <si>
    <t>VASTJ.220.1(2).png</t>
  </si>
  <si>
    <t>Letter size variation; Word meaning difference; Color difference; Ugly calligraphy</t>
  </si>
  <si>
    <t>different font/word sizes/structure; different word meaning; color variety/arrangement/distribution; less attractive</t>
  </si>
  <si>
    <t>color variety/shading; distracting/confusing/unclear; unclear meaning/confusing; word rotation/small font size</t>
  </si>
  <si>
    <t>text_display --&gt; text.label [overall] | letters --&gt; text.label [data_area] | words --&gt; text.label [data_area] | calligraphy --&gt; property.font_style [overall]</t>
  </si>
  <si>
    <t>variable_letter_size @ letters (text.label) [+] | differing_word_meanings @ words (text.label) [+] | color_variation_present @ letters (text.label) [+] | ugly_irregular_calligraphy @ calligraphy (property.font_style) [+]</t>
  </si>
  <si>
    <t>letters(text.label) --varies_in_size_across--&gt; text_display(text.label) [+] | words(text.label) --differ_semantically_within--&gt; text_display(text.label) [+] | calligraphy(property.font_style) --increases_clutter_in--&gt; text_display(text.label) [+]</t>
  </si>
  <si>
    <t>VASTJ.250.13.png</t>
  </si>
  <si>
    <t>more words</t>
  </si>
  <si>
    <t>high_word_count @ text_labels (text.label) [+]</t>
  </si>
  <si>
    <t>text_labels(text.label) --increases_complexity(raw:increases)--&gt; text_labels(text.label) [+]</t>
  </si>
  <si>
    <t>InfoVisJ.2546.1.png</t>
  </si>
  <si>
    <t>A lot of words and letters, too many divisions, different sizes of font</t>
  </si>
  <si>
    <t>too many details/divisions; different font/word sizes/structure; more texts/words</t>
  </si>
  <si>
    <t>amount of words/context/numbers; more charts/points/lines/shapes/elements; word rotation/small font size</t>
  </si>
  <si>
    <t>chart --&gt; whole.visualization [overall] | divisions --&gt; structure.grid [data_area] | text_labels --&gt; text.label [data_area] | font --&gt; property.font_style [overall]</t>
  </si>
  <si>
    <t>too_many_divisions @ divisions (structure.grid) [+] | varying_font_sizes @ font (property.font_style) [+] | high_word_and_letter_count @ text_labels (text.label) [+]</t>
  </si>
  <si>
    <t>text_labels(text.label) --rendered_in--&gt; font(property.font_style) [+] | divisions(structure.grid) --increases_clutter_via--&gt; text_labels(text.label) [+]</t>
  </si>
  <si>
    <t>MorphableWordClouds13.png</t>
  </si>
  <si>
    <t>sizes of words, readability</t>
  </si>
  <si>
    <t>readability; word rotation/small font size</t>
  </si>
  <si>
    <t>word rotation/small font size</t>
  </si>
  <si>
    <t>word_cloud --&gt; whole.visualization [data_area] | words --&gt; text.label [data_area]</t>
  </si>
  <si>
    <t>varied_word_sizes @ words (text.label) [-] | low_readability @ word_cloud (whole.visualization) [+]</t>
  </si>
  <si>
    <t>words(text.label) --affects_readability_of--&gt; word_cloud(whole.visualization) [+]</t>
  </si>
  <si>
    <t>VASTC.51.10.png</t>
  </si>
  <si>
    <t>contains a lot of information the size of the graphics</t>
  </si>
  <si>
    <t>chart --&gt; whole.visualization [overall] | graphics --&gt; whole.visualization [data_area]</t>
  </si>
  <si>
    <t>high_information_volume @ chart (whole.visualization) [+] | large_graphic_size @ graphics (whole.visualization) [+]</t>
  </si>
  <si>
    <t>graphics(whole.visualization) --contributes_to_clutter_in--&gt; chart(whole.visualization) [+]</t>
  </si>
  <si>
    <t>InfoVisC.24.3(2).png</t>
  </si>
  <si>
    <t>just text on the (less complex) and code/text; In the image with orange highlight I'm seeing programming and for me it's more difficult.</t>
  </si>
  <si>
    <t>code/text; word/text/sentence; a specific technique; more difficult</t>
  </si>
  <si>
    <t>text_content --&gt; text.label [overall] | code_block --&gt; structure.panel [data_area]</t>
  </si>
  <si>
    <t>primarily_text_based @ text_content (text.label) [-] | just_text_present @ text_content (text.label) [-] | programming_syntax_present @ code_block (structure.panel) [+] | increases_interpretive_difficulty @ code_block (structure.panel) [+]</t>
  </si>
  <si>
    <t>code_block(structure.panel) --requires_expertise(raw:requires_domain_knowledge)--&gt; text_content(text.label) [+] | text_content(text.label) --reduces_visual_clutter--&gt; code_block(structure.panel) [-]</t>
  </si>
  <si>
    <t>MorphableWordClouds11.png</t>
  </si>
  <si>
    <t>provokes thought and understanding</t>
  </si>
  <si>
    <t>word_cloud --&gt; whole.visualization [overall]</t>
  </si>
  <si>
    <t>high_visual_impact @ word_cloud (whole.visualization) [-]</t>
  </si>
  <si>
    <t>InfoVisJ.2556.9.png</t>
  </si>
  <si>
    <t>immediately_recognizable_form @ chart (whole.visualization) [-] | clear_and_legible @ labels (text.label) [-] | purpose_clearly_stated @ title (text.title) [-]</t>
  </si>
  <si>
    <t>title(text.title) --reduces_ambiguity_of--&gt; chart(whole.visualization) [-] | labels(text.label) --supports_interpretation_of--&gt; chart(whole.visualization) [-]</t>
  </si>
  <si>
    <t>VASTJ.1612.1.png</t>
  </si>
  <si>
    <t>The words are very difficult to see and it has two different colors.</t>
  </si>
  <si>
    <t>unclear relation between words; two colors; hard to see/tell/visualize</t>
  </si>
  <si>
    <t>easy/hard to interpret; two colors; unclear meaning/confusing</t>
  </si>
  <si>
    <t>words_difficult_to_see @ text_labels (text.label) [+] | low_legibility @ text_labels (text.label) [+] | two_distinct_colors @ color_encoding (property.color) [+]</t>
  </si>
  <si>
    <t>text_labels(text.label) --contributes_to--&gt; color_encoding(property.color) [+] | color_encoding(property.color) --makes_harder_to_read--&gt; text_labels(text.label) [+]</t>
  </si>
  <si>
    <t>MorphableWordClouds7.png</t>
  </si>
  <si>
    <t>more complicated; more intricate</t>
  </si>
  <si>
    <t>word_cloud --&gt; whole.visualization [overall] | color_scheme --&gt; property.color [data_area] | layout --&gt; structure.layout [overall]</t>
  </si>
  <si>
    <t>complex_color_scheme @ color_scheme (property.color) [+] | non_linear_arrangement @ layout (structure.layout) [+] | asymmetrical_layout @ layout (structure.layout) [+]</t>
  </si>
  <si>
    <t>color_scheme(property.color) --increases_complexity(raw:increases_complexity_of)--&gt; word_cloud(whole.visualization) [+] | layout(structure.layout) --contributes_disorder_to--&gt; word_cloud(whole.visualization) [+]</t>
  </si>
  <si>
    <t>InfoVisJ.2546.10.png</t>
  </si>
  <si>
    <t>chart --&gt; whole.visualization [overall] | text_labels --&gt; text.label [axes] | data_area --&gt; structure.region [data_area]</t>
  </si>
  <si>
    <t>easily_understandable_information @ chart (whole.visualization) [-] | quickly_interpretable_content @ chart (whole.visualization) [-] | high_reading_demand @ text_labels (text.label) [+]</t>
  </si>
  <si>
    <t>text_labels(text.label) --increases_reading_load_of--&gt; chart(whole.visualization) [+] | data_area(structure.region) --supports_quick_understanding_of--&gt; chart(whole.visualization) [-]</t>
  </si>
  <si>
    <t>VASTJ.1612.1(4).png</t>
  </si>
  <si>
    <t>word rotation/small font size; unclear color meaning; hard to interpret/read/understand; less intuitive</t>
  </si>
  <si>
    <t>color contrast/clarity; easy/hard to interpret; word rotation/small font size</t>
  </si>
  <si>
    <t>chart --&gt; whole.visualization [overall] | color_encoding --&gt; property.color [data_area] | text_labels --&gt; text.label [data_area] | vertical_layout --&gt; structure.layout [overall]</t>
  </si>
  <si>
    <t>unclear_color_meaning @ color_encoding (property.color) [+] | small_text_size @ text_labels (text.label) [+] | difficult_to_read_words @ text_labels (text.label) [+] | vertical_orientation @ vertical_layout (structure.layout) [+]</t>
  </si>
  <si>
    <t>color_encoding(property.color) --increases_effort(raw:increases_cognitive_load_of)--&gt; chart(whole.visualization) [+] | text_labels(text.label) --reduces_legibility_within--&gt; chart(whole.visualization) [+] | vertical_layout(structure.layout) --contributes_to_clutter_of--&gt; chart(whole.visualization)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</si>
</sst>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24CF-50CA-494B-B53C-562A3D81AE86}">
  <dimension ref="A1:K511"/>
  <sheetViews>
    <sheetView tabSelected="1" workbookViewId="0">
      <selection activeCell="E4" sqref="E4"/>
    </sheetView>
  </sheetViews>
  <sheetFormatPr defaultRowHeight="15" x14ac:dyDescent="0.25"/>
  <cols>
    <col min="1" max="1" width="11.140625" customWidth="1"/>
    <col min="2" max="2" width="11.5703125" customWidth="1"/>
    <col min="3" max="3" width="19" customWidth="1"/>
    <col min="4" max="4" width="20" customWidth="1"/>
    <col min="5" max="5" width="21.28515625" customWidth="1"/>
    <col min="9" max="9" width="33.7109375" style="1" customWidth="1"/>
    <col min="10" max="10" width="45.5703125" style="1" customWidth="1"/>
    <col min="11" max="11" width="45" style="1" customWidth="1"/>
  </cols>
  <sheetData>
    <row r="1" spans="1:11" x14ac:dyDescent="0.25">
      <c r="A1" t="s">
        <v>0</v>
      </c>
      <c r="B1" t="s">
        <v>1</v>
      </c>
      <c r="C1" t="s">
        <v>2</v>
      </c>
      <c r="D1" t="s">
        <v>3</v>
      </c>
      <c r="E1" t="s">
        <v>4</v>
      </c>
      <c r="F1" t="s">
        <v>5</v>
      </c>
      <c r="G1" t="s">
        <v>6</v>
      </c>
      <c r="H1" t="s">
        <v>7</v>
      </c>
      <c r="I1" s="1" t="s">
        <v>8</v>
      </c>
      <c r="J1" s="1" t="s">
        <v>9</v>
      </c>
      <c r="K1" s="1" t="s">
        <v>10</v>
      </c>
    </row>
    <row r="2" spans="1:11" ht="60" x14ac:dyDescent="0.25">
      <c r="A2" t="s">
        <v>11</v>
      </c>
      <c r="B2" t="s">
        <v>12</v>
      </c>
      <c r="C2" t="s">
        <v>13</v>
      </c>
      <c r="D2" t="s">
        <v>14</v>
      </c>
      <c r="E2" t="s">
        <v>15</v>
      </c>
      <c r="F2">
        <v>2</v>
      </c>
      <c r="G2">
        <v>2</v>
      </c>
      <c r="H2">
        <v>1</v>
      </c>
      <c r="I2" s="1" t="s">
        <v>16</v>
      </c>
      <c r="J2" s="1" t="s">
        <v>17</v>
      </c>
      <c r="K2" s="1" t="s">
        <v>18</v>
      </c>
    </row>
    <row r="3" spans="1:11" ht="105" x14ac:dyDescent="0.25">
      <c r="A3" t="s">
        <v>19</v>
      </c>
      <c r="B3" t="s">
        <v>20</v>
      </c>
      <c r="C3" t="s">
        <v>21</v>
      </c>
      <c r="D3" t="s">
        <v>22</v>
      </c>
      <c r="E3" t="s">
        <v>23</v>
      </c>
      <c r="F3">
        <v>3</v>
      </c>
      <c r="G3">
        <v>4</v>
      </c>
      <c r="H3">
        <v>2</v>
      </c>
      <c r="I3" s="1" t="s">
        <v>24</v>
      </c>
      <c r="J3" s="1" t="s">
        <v>25</v>
      </c>
      <c r="K3" s="1" t="s">
        <v>26</v>
      </c>
    </row>
    <row r="4" spans="1:11" ht="105" x14ac:dyDescent="0.25">
      <c r="A4" t="s">
        <v>27</v>
      </c>
      <c r="B4" t="s">
        <v>12</v>
      </c>
      <c r="C4" t="s">
        <v>28</v>
      </c>
      <c r="D4" t="s">
        <v>29</v>
      </c>
      <c r="E4" t="s">
        <v>30</v>
      </c>
      <c r="F4">
        <v>5</v>
      </c>
      <c r="G4">
        <v>4</v>
      </c>
      <c r="H4">
        <v>2</v>
      </c>
      <c r="I4" s="1" t="s">
        <v>31</v>
      </c>
      <c r="J4" s="1" t="s">
        <v>32</v>
      </c>
      <c r="K4" s="1" t="s">
        <v>33</v>
      </c>
    </row>
    <row r="5" spans="1:11" ht="105" x14ac:dyDescent="0.25">
      <c r="A5" t="s">
        <v>34</v>
      </c>
      <c r="B5" t="s">
        <v>35</v>
      </c>
      <c r="C5" t="s">
        <v>36</v>
      </c>
      <c r="D5" t="s">
        <v>37</v>
      </c>
      <c r="E5" t="s">
        <v>38</v>
      </c>
      <c r="F5">
        <v>3</v>
      </c>
      <c r="G5">
        <v>4</v>
      </c>
      <c r="H5">
        <v>2</v>
      </c>
      <c r="I5" s="1" t="s">
        <v>39</v>
      </c>
      <c r="J5" s="1" t="s">
        <v>40</v>
      </c>
      <c r="K5" s="1" t="s">
        <v>41</v>
      </c>
    </row>
    <row r="6" spans="1:11" ht="210" x14ac:dyDescent="0.25">
      <c r="A6" t="s">
        <v>42</v>
      </c>
      <c r="B6" t="s">
        <v>43</v>
      </c>
      <c r="C6" t="s">
        <v>44</v>
      </c>
      <c r="D6" t="s">
        <v>45</v>
      </c>
      <c r="E6" t="s">
        <v>46</v>
      </c>
      <c r="F6">
        <v>5</v>
      </c>
      <c r="G6">
        <v>10</v>
      </c>
      <c r="H6">
        <v>4</v>
      </c>
      <c r="I6" s="1" t="s">
        <v>47</v>
      </c>
      <c r="J6" s="1" t="s">
        <v>48</v>
      </c>
      <c r="K6" s="1" t="s">
        <v>49</v>
      </c>
    </row>
    <row r="7" spans="1:11" ht="75" x14ac:dyDescent="0.25">
      <c r="A7" t="s">
        <v>50</v>
      </c>
      <c r="B7" t="s">
        <v>43</v>
      </c>
      <c r="C7" t="s">
        <v>51</v>
      </c>
      <c r="D7" t="s">
        <v>52</v>
      </c>
      <c r="E7" t="s">
        <v>53</v>
      </c>
      <c r="F7">
        <v>2</v>
      </c>
      <c r="G7">
        <v>4</v>
      </c>
      <c r="H7">
        <v>1</v>
      </c>
      <c r="I7" s="1" t="s">
        <v>54</v>
      </c>
      <c r="J7" s="1" t="s">
        <v>55</v>
      </c>
      <c r="K7" s="1" t="s">
        <v>56</v>
      </c>
    </row>
    <row r="8" spans="1:11" ht="270" x14ac:dyDescent="0.25">
      <c r="A8" t="s">
        <v>57</v>
      </c>
      <c r="B8" t="s">
        <v>12</v>
      </c>
      <c r="C8" t="s">
        <v>58</v>
      </c>
      <c r="D8" t="s">
        <v>59</v>
      </c>
      <c r="E8" t="s">
        <v>60</v>
      </c>
      <c r="F8">
        <v>6</v>
      </c>
      <c r="G8">
        <v>12</v>
      </c>
      <c r="H8">
        <v>4</v>
      </c>
      <c r="I8" s="1" t="s">
        <v>61</v>
      </c>
      <c r="J8" s="1" t="s">
        <v>62</v>
      </c>
      <c r="K8" s="1" t="s">
        <v>63</v>
      </c>
    </row>
    <row r="9" spans="1:11" ht="90" x14ac:dyDescent="0.25">
      <c r="A9" t="s">
        <v>64</v>
      </c>
      <c r="B9" t="s">
        <v>65</v>
      </c>
      <c r="C9" t="s">
        <v>66</v>
      </c>
      <c r="D9" t="s">
        <v>67</v>
      </c>
      <c r="E9" t="s">
        <v>15</v>
      </c>
      <c r="F9">
        <v>1</v>
      </c>
      <c r="G9">
        <v>3</v>
      </c>
      <c r="H9">
        <v>0</v>
      </c>
      <c r="I9" s="1" t="s">
        <v>68</v>
      </c>
      <c r="J9" s="1" t="s">
        <v>69</v>
      </c>
    </row>
    <row r="10" spans="1:11" ht="90" x14ac:dyDescent="0.25">
      <c r="A10" t="s">
        <v>70</v>
      </c>
      <c r="B10" t="s">
        <v>65</v>
      </c>
      <c r="C10" t="s">
        <v>71</v>
      </c>
      <c r="D10" t="s">
        <v>72</v>
      </c>
      <c r="E10" t="s">
        <v>73</v>
      </c>
      <c r="F10">
        <v>3</v>
      </c>
      <c r="G10">
        <v>2</v>
      </c>
      <c r="H10">
        <v>2</v>
      </c>
      <c r="I10" s="1" t="s">
        <v>74</v>
      </c>
      <c r="J10" s="1" t="s">
        <v>75</v>
      </c>
      <c r="K10" s="1" t="s">
        <v>76</v>
      </c>
    </row>
    <row r="11" spans="1:11" ht="150" x14ac:dyDescent="0.25">
      <c r="A11" t="s">
        <v>77</v>
      </c>
      <c r="B11" t="s">
        <v>78</v>
      </c>
      <c r="C11" t="s">
        <v>79</v>
      </c>
      <c r="D11" t="s">
        <v>80</v>
      </c>
      <c r="E11" t="s">
        <v>81</v>
      </c>
      <c r="F11">
        <v>5</v>
      </c>
      <c r="G11">
        <v>6</v>
      </c>
      <c r="H11">
        <v>3</v>
      </c>
      <c r="I11" s="1" t="s">
        <v>82</v>
      </c>
      <c r="J11" s="1" t="s">
        <v>83</v>
      </c>
      <c r="K11" s="1" t="s">
        <v>84</v>
      </c>
    </row>
    <row r="12" spans="1:11" ht="409.5" x14ac:dyDescent="0.25">
      <c r="A12" t="s">
        <v>85</v>
      </c>
      <c r="B12" t="s">
        <v>20</v>
      </c>
      <c r="C12" t="s">
        <v>86</v>
      </c>
      <c r="D12" t="s">
        <v>87</v>
      </c>
      <c r="E12" t="s">
        <v>88</v>
      </c>
      <c r="F12">
        <v>7</v>
      </c>
      <c r="G12">
        <v>19</v>
      </c>
      <c r="H12">
        <v>5</v>
      </c>
      <c r="I12" s="1" t="s">
        <v>89</v>
      </c>
      <c r="J12" s="1" t="s">
        <v>90</v>
      </c>
      <c r="K12" s="1" t="s">
        <v>91</v>
      </c>
    </row>
    <row r="13" spans="1:11" ht="90" x14ac:dyDescent="0.25">
      <c r="A13" t="s">
        <v>92</v>
      </c>
      <c r="B13" t="s">
        <v>93</v>
      </c>
      <c r="C13" t="s">
        <v>94</v>
      </c>
      <c r="D13" t="s">
        <v>95</v>
      </c>
      <c r="E13" t="s">
        <v>95</v>
      </c>
      <c r="F13">
        <v>1</v>
      </c>
      <c r="G13">
        <v>3</v>
      </c>
      <c r="H13">
        <v>0</v>
      </c>
      <c r="I13" s="1" t="s">
        <v>68</v>
      </c>
      <c r="J13" s="1" t="s">
        <v>96</v>
      </c>
    </row>
    <row r="14" spans="1:11" ht="240" x14ac:dyDescent="0.25">
      <c r="A14" t="s">
        <v>97</v>
      </c>
      <c r="B14" t="s">
        <v>93</v>
      </c>
      <c r="C14" t="s">
        <v>98</v>
      </c>
      <c r="D14" t="s">
        <v>99</v>
      </c>
      <c r="E14" t="s">
        <v>100</v>
      </c>
      <c r="F14">
        <v>6</v>
      </c>
      <c r="G14">
        <v>12</v>
      </c>
      <c r="H14">
        <v>5</v>
      </c>
      <c r="I14" s="1" t="s">
        <v>101</v>
      </c>
      <c r="J14" s="1" t="s">
        <v>102</v>
      </c>
      <c r="K14" s="1" t="s">
        <v>103</v>
      </c>
    </row>
    <row r="15" spans="1:11" ht="135" x14ac:dyDescent="0.25">
      <c r="A15" t="s">
        <v>104</v>
      </c>
      <c r="B15" t="s">
        <v>65</v>
      </c>
      <c r="C15" t="s">
        <v>105</v>
      </c>
      <c r="D15" t="s">
        <v>106</v>
      </c>
      <c r="E15" t="s">
        <v>107</v>
      </c>
      <c r="F15">
        <v>4</v>
      </c>
      <c r="G15">
        <v>4</v>
      </c>
      <c r="H15">
        <v>3</v>
      </c>
      <c r="I15" s="1" t="s">
        <v>108</v>
      </c>
      <c r="J15" s="1" t="s">
        <v>109</v>
      </c>
      <c r="K15" s="1" t="s">
        <v>110</v>
      </c>
    </row>
    <row r="16" spans="1:11" ht="60" x14ac:dyDescent="0.25">
      <c r="A16" t="s">
        <v>111</v>
      </c>
      <c r="B16" t="s">
        <v>65</v>
      </c>
      <c r="C16" t="s">
        <v>112</v>
      </c>
      <c r="D16" t="s">
        <v>113</v>
      </c>
      <c r="E16" t="s">
        <v>114</v>
      </c>
      <c r="F16">
        <v>2</v>
      </c>
      <c r="G16">
        <v>2</v>
      </c>
      <c r="H16">
        <v>1</v>
      </c>
      <c r="I16" s="1" t="s">
        <v>115</v>
      </c>
      <c r="J16" s="1" t="s">
        <v>116</v>
      </c>
      <c r="K16" s="1" t="s">
        <v>117</v>
      </c>
    </row>
    <row r="17" spans="1:11" ht="240" x14ac:dyDescent="0.25">
      <c r="A17" t="s">
        <v>118</v>
      </c>
      <c r="B17" t="s">
        <v>119</v>
      </c>
      <c r="C17" t="s">
        <v>120</v>
      </c>
      <c r="D17" t="s">
        <v>121</v>
      </c>
      <c r="E17" t="s">
        <v>122</v>
      </c>
      <c r="F17">
        <v>5</v>
      </c>
      <c r="G17">
        <v>11</v>
      </c>
      <c r="H17">
        <v>4</v>
      </c>
      <c r="I17" s="1" t="s">
        <v>123</v>
      </c>
      <c r="J17" s="1" t="s">
        <v>124</v>
      </c>
      <c r="K17" s="1" t="s">
        <v>125</v>
      </c>
    </row>
    <row r="18" spans="1:11" ht="409.5" x14ac:dyDescent="0.25">
      <c r="A18" t="s">
        <v>126</v>
      </c>
      <c r="B18" t="s">
        <v>93</v>
      </c>
      <c r="C18" t="s">
        <v>127</v>
      </c>
      <c r="D18" t="s">
        <v>128</v>
      </c>
      <c r="E18" t="s">
        <v>129</v>
      </c>
      <c r="F18">
        <v>7</v>
      </c>
      <c r="G18">
        <v>24</v>
      </c>
      <c r="H18">
        <v>6</v>
      </c>
      <c r="I18" s="1" t="s">
        <v>130</v>
      </c>
      <c r="J18" s="1" t="s">
        <v>131</v>
      </c>
      <c r="K18" s="1" t="s">
        <v>132</v>
      </c>
    </row>
    <row r="19" spans="1:11" ht="150" x14ac:dyDescent="0.25">
      <c r="A19" t="s">
        <v>133</v>
      </c>
      <c r="B19" t="s">
        <v>35</v>
      </c>
      <c r="C19" t="s">
        <v>134</v>
      </c>
      <c r="D19" t="s">
        <v>135</v>
      </c>
      <c r="E19" t="s">
        <v>136</v>
      </c>
      <c r="F19">
        <v>5</v>
      </c>
      <c r="G19">
        <v>6</v>
      </c>
      <c r="H19">
        <v>3</v>
      </c>
      <c r="I19" s="1" t="s">
        <v>137</v>
      </c>
      <c r="J19" s="1" t="s">
        <v>138</v>
      </c>
      <c r="K19" s="1" t="s">
        <v>139</v>
      </c>
    </row>
    <row r="20" spans="1:11" ht="180" x14ac:dyDescent="0.25">
      <c r="A20" t="s">
        <v>140</v>
      </c>
      <c r="B20" t="s">
        <v>65</v>
      </c>
      <c r="C20" t="s">
        <v>141</v>
      </c>
      <c r="D20" t="s">
        <v>142</v>
      </c>
      <c r="E20" t="s">
        <v>143</v>
      </c>
      <c r="F20">
        <v>4</v>
      </c>
      <c r="G20">
        <v>8</v>
      </c>
      <c r="H20">
        <v>3</v>
      </c>
      <c r="I20" s="1" t="s">
        <v>144</v>
      </c>
      <c r="J20" s="1" t="s">
        <v>145</v>
      </c>
      <c r="K20" s="1" t="s">
        <v>146</v>
      </c>
    </row>
    <row r="21" spans="1:11" ht="45" x14ac:dyDescent="0.25">
      <c r="A21" t="s">
        <v>147</v>
      </c>
      <c r="B21" t="s">
        <v>12</v>
      </c>
      <c r="C21" t="s">
        <v>148</v>
      </c>
      <c r="D21" t="s">
        <v>149</v>
      </c>
      <c r="E21" t="s">
        <v>150</v>
      </c>
      <c r="F21">
        <v>1</v>
      </c>
      <c r="G21">
        <v>1</v>
      </c>
      <c r="H21">
        <v>0</v>
      </c>
      <c r="I21" s="1" t="s">
        <v>68</v>
      </c>
      <c r="J21" s="1" t="s">
        <v>151</v>
      </c>
    </row>
    <row r="22" spans="1:11" ht="90" x14ac:dyDescent="0.25">
      <c r="A22" t="s">
        <v>152</v>
      </c>
      <c r="B22" t="s">
        <v>12</v>
      </c>
      <c r="C22" t="s">
        <v>153</v>
      </c>
      <c r="D22" t="s">
        <v>154</v>
      </c>
      <c r="E22" t="s">
        <v>155</v>
      </c>
      <c r="F22">
        <v>2</v>
      </c>
      <c r="G22">
        <v>3</v>
      </c>
      <c r="H22">
        <v>1</v>
      </c>
      <c r="I22" s="1" t="s">
        <v>156</v>
      </c>
      <c r="J22" s="1" t="s">
        <v>157</v>
      </c>
      <c r="K22" s="1" t="s">
        <v>158</v>
      </c>
    </row>
    <row r="23" spans="1:11" ht="45" x14ac:dyDescent="0.25">
      <c r="A23" t="s">
        <v>159</v>
      </c>
      <c r="B23" t="s">
        <v>12</v>
      </c>
      <c r="C23" t="s">
        <v>160</v>
      </c>
      <c r="D23" t="s">
        <v>161</v>
      </c>
      <c r="E23" t="s">
        <v>155</v>
      </c>
      <c r="F23">
        <v>1</v>
      </c>
      <c r="G23">
        <v>2</v>
      </c>
      <c r="H23">
        <v>0</v>
      </c>
      <c r="I23" s="1" t="s">
        <v>162</v>
      </c>
      <c r="J23" s="1" t="s">
        <v>163</v>
      </c>
    </row>
    <row r="24" spans="1:11" ht="60" x14ac:dyDescent="0.25">
      <c r="A24" t="s">
        <v>164</v>
      </c>
      <c r="B24" t="s">
        <v>78</v>
      </c>
      <c r="C24" t="s">
        <v>165</v>
      </c>
      <c r="D24" t="s">
        <v>166</v>
      </c>
      <c r="E24" t="s">
        <v>167</v>
      </c>
      <c r="F24">
        <v>2</v>
      </c>
      <c r="G24">
        <v>2</v>
      </c>
      <c r="H24">
        <v>1</v>
      </c>
      <c r="I24" s="1" t="s">
        <v>168</v>
      </c>
      <c r="J24" s="1" t="s">
        <v>169</v>
      </c>
      <c r="K24" s="1" t="s">
        <v>170</v>
      </c>
    </row>
    <row r="25" spans="1:11" ht="150" x14ac:dyDescent="0.25">
      <c r="A25" t="s">
        <v>171</v>
      </c>
      <c r="B25" t="s">
        <v>20</v>
      </c>
      <c r="C25" t="s">
        <v>172</v>
      </c>
      <c r="D25" t="s">
        <v>173</v>
      </c>
      <c r="E25" t="s">
        <v>174</v>
      </c>
      <c r="F25">
        <v>4</v>
      </c>
      <c r="G25">
        <v>6</v>
      </c>
      <c r="H25">
        <v>3</v>
      </c>
      <c r="I25" s="1" t="s">
        <v>175</v>
      </c>
      <c r="J25" s="1" t="s">
        <v>176</v>
      </c>
      <c r="K25" s="1" t="s">
        <v>177</v>
      </c>
    </row>
    <row r="26" spans="1:11" ht="165" x14ac:dyDescent="0.25">
      <c r="A26" t="s">
        <v>178</v>
      </c>
      <c r="B26" t="s">
        <v>12</v>
      </c>
      <c r="C26" t="s">
        <v>179</v>
      </c>
      <c r="D26" t="s">
        <v>180</v>
      </c>
      <c r="E26" t="s">
        <v>181</v>
      </c>
      <c r="F26">
        <v>5</v>
      </c>
      <c r="G26">
        <v>5</v>
      </c>
      <c r="H26">
        <v>3</v>
      </c>
      <c r="I26" s="1" t="s">
        <v>182</v>
      </c>
      <c r="J26" s="1" t="s">
        <v>183</v>
      </c>
      <c r="K26" s="1" t="s">
        <v>184</v>
      </c>
    </row>
    <row r="27" spans="1:11" ht="90" x14ac:dyDescent="0.25">
      <c r="A27" t="s">
        <v>185</v>
      </c>
      <c r="B27" t="s">
        <v>12</v>
      </c>
      <c r="C27" t="s">
        <v>186</v>
      </c>
      <c r="D27" t="s">
        <v>187</v>
      </c>
      <c r="E27" t="s">
        <v>188</v>
      </c>
      <c r="F27">
        <v>3</v>
      </c>
      <c r="G27">
        <v>4</v>
      </c>
      <c r="H27">
        <v>2</v>
      </c>
      <c r="I27" s="1" t="s">
        <v>189</v>
      </c>
      <c r="J27" s="1" t="s">
        <v>190</v>
      </c>
      <c r="K27" s="1" t="s">
        <v>191</v>
      </c>
    </row>
    <row r="28" spans="1:11" ht="105" x14ac:dyDescent="0.25">
      <c r="A28" t="s">
        <v>192</v>
      </c>
      <c r="B28" t="s">
        <v>119</v>
      </c>
      <c r="C28" t="s">
        <v>193</v>
      </c>
      <c r="D28" t="s">
        <v>194</v>
      </c>
      <c r="E28" t="s">
        <v>195</v>
      </c>
      <c r="F28">
        <v>3</v>
      </c>
      <c r="G28">
        <v>3</v>
      </c>
      <c r="H28">
        <v>2</v>
      </c>
      <c r="I28" s="1" t="s">
        <v>196</v>
      </c>
      <c r="J28" s="1" t="s">
        <v>197</v>
      </c>
      <c r="K28" s="1" t="s">
        <v>198</v>
      </c>
    </row>
    <row r="29" spans="1:11" ht="60" x14ac:dyDescent="0.25">
      <c r="A29" t="s">
        <v>199</v>
      </c>
      <c r="B29" t="s">
        <v>20</v>
      </c>
      <c r="C29" t="s">
        <v>200</v>
      </c>
      <c r="D29" t="s">
        <v>201</v>
      </c>
      <c r="E29" t="s">
        <v>202</v>
      </c>
      <c r="F29">
        <v>2</v>
      </c>
      <c r="G29">
        <v>2</v>
      </c>
      <c r="H29">
        <v>1</v>
      </c>
      <c r="I29" s="1" t="s">
        <v>203</v>
      </c>
      <c r="J29" s="1" t="s">
        <v>204</v>
      </c>
      <c r="K29" s="1" t="s">
        <v>205</v>
      </c>
    </row>
    <row r="30" spans="1:11" ht="105" x14ac:dyDescent="0.25">
      <c r="A30" t="s">
        <v>206</v>
      </c>
      <c r="B30" t="s">
        <v>20</v>
      </c>
      <c r="C30" t="s">
        <v>207</v>
      </c>
      <c r="D30" t="s">
        <v>208</v>
      </c>
      <c r="E30" t="s">
        <v>209</v>
      </c>
      <c r="F30">
        <v>3</v>
      </c>
      <c r="G30">
        <v>4</v>
      </c>
      <c r="H30">
        <v>2</v>
      </c>
      <c r="I30" s="1" t="s">
        <v>210</v>
      </c>
      <c r="J30" s="1" t="s">
        <v>211</v>
      </c>
      <c r="K30" s="1" t="s">
        <v>212</v>
      </c>
    </row>
    <row r="31" spans="1:11" ht="240" x14ac:dyDescent="0.25">
      <c r="A31" t="s">
        <v>213</v>
      </c>
      <c r="B31" t="s">
        <v>214</v>
      </c>
      <c r="C31" t="s">
        <v>215</v>
      </c>
      <c r="D31" t="s">
        <v>216</v>
      </c>
      <c r="E31" t="s">
        <v>217</v>
      </c>
      <c r="F31">
        <v>5</v>
      </c>
      <c r="G31">
        <v>10</v>
      </c>
      <c r="H31">
        <v>4</v>
      </c>
      <c r="I31" s="1" t="s">
        <v>218</v>
      </c>
      <c r="J31" s="1" t="s">
        <v>219</v>
      </c>
      <c r="K31" s="1" t="s">
        <v>220</v>
      </c>
    </row>
    <row r="32" spans="1:11" ht="75" x14ac:dyDescent="0.25">
      <c r="A32" t="s">
        <v>221</v>
      </c>
      <c r="B32" t="s">
        <v>119</v>
      </c>
      <c r="D32" t="s">
        <v>222</v>
      </c>
      <c r="E32" t="s">
        <v>223</v>
      </c>
      <c r="F32">
        <v>2</v>
      </c>
      <c r="G32">
        <v>2</v>
      </c>
      <c r="H32">
        <v>1</v>
      </c>
      <c r="I32" s="1" t="s">
        <v>224</v>
      </c>
      <c r="J32" s="1" t="s">
        <v>225</v>
      </c>
      <c r="K32" s="1" t="s">
        <v>226</v>
      </c>
    </row>
    <row r="33" spans="1:11" ht="195" x14ac:dyDescent="0.25">
      <c r="A33" t="s">
        <v>227</v>
      </c>
      <c r="B33" t="s">
        <v>65</v>
      </c>
      <c r="C33" t="s">
        <v>228</v>
      </c>
      <c r="D33" t="s">
        <v>229</v>
      </c>
      <c r="E33" t="s">
        <v>230</v>
      </c>
      <c r="F33">
        <v>5</v>
      </c>
      <c r="G33">
        <v>7</v>
      </c>
      <c r="H33">
        <v>3</v>
      </c>
      <c r="I33" s="1" t="s">
        <v>231</v>
      </c>
      <c r="J33" s="1" t="s">
        <v>232</v>
      </c>
      <c r="K33" s="1" t="s">
        <v>233</v>
      </c>
    </row>
    <row r="34" spans="1:11" ht="90" x14ac:dyDescent="0.25">
      <c r="A34" t="s">
        <v>234</v>
      </c>
      <c r="B34" t="s">
        <v>43</v>
      </c>
      <c r="C34" t="s">
        <v>235</v>
      </c>
      <c r="D34" t="s">
        <v>236</v>
      </c>
      <c r="E34" t="s">
        <v>237</v>
      </c>
      <c r="F34">
        <v>3</v>
      </c>
      <c r="G34">
        <v>4</v>
      </c>
      <c r="H34">
        <v>2</v>
      </c>
      <c r="I34" s="1" t="s">
        <v>238</v>
      </c>
      <c r="J34" s="1" t="s">
        <v>239</v>
      </c>
      <c r="K34" s="1" t="s">
        <v>240</v>
      </c>
    </row>
    <row r="35" spans="1:11" ht="45" x14ac:dyDescent="0.25">
      <c r="A35" t="s">
        <v>241</v>
      </c>
      <c r="B35" t="s">
        <v>20</v>
      </c>
      <c r="C35" t="s">
        <v>242</v>
      </c>
      <c r="D35" t="s">
        <v>243</v>
      </c>
      <c r="E35" t="s">
        <v>244</v>
      </c>
      <c r="F35">
        <v>1</v>
      </c>
      <c r="G35">
        <v>1</v>
      </c>
      <c r="H35">
        <v>0</v>
      </c>
      <c r="I35" s="1" t="s">
        <v>245</v>
      </c>
      <c r="J35" s="1" t="s">
        <v>246</v>
      </c>
    </row>
    <row r="36" spans="1:11" ht="255" x14ac:dyDescent="0.25">
      <c r="A36" t="s">
        <v>247</v>
      </c>
      <c r="B36" t="s">
        <v>65</v>
      </c>
      <c r="C36" t="s">
        <v>248</v>
      </c>
      <c r="D36" t="s">
        <v>249</v>
      </c>
      <c r="E36" t="s">
        <v>250</v>
      </c>
      <c r="F36">
        <v>5</v>
      </c>
      <c r="G36">
        <v>13</v>
      </c>
      <c r="H36">
        <v>5</v>
      </c>
      <c r="I36" s="1" t="s">
        <v>251</v>
      </c>
      <c r="J36" s="1" t="s">
        <v>252</v>
      </c>
      <c r="K36" s="1" t="s">
        <v>253</v>
      </c>
    </row>
    <row r="37" spans="1:11" ht="60" x14ac:dyDescent="0.25">
      <c r="A37" t="s">
        <v>254</v>
      </c>
      <c r="B37" t="s">
        <v>35</v>
      </c>
      <c r="C37" t="s">
        <v>255</v>
      </c>
      <c r="D37" t="s">
        <v>256</v>
      </c>
      <c r="E37" t="s">
        <v>244</v>
      </c>
      <c r="F37">
        <v>2</v>
      </c>
      <c r="G37">
        <v>1</v>
      </c>
      <c r="H37">
        <v>1</v>
      </c>
      <c r="I37" s="1" t="s">
        <v>257</v>
      </c>
      <c r="J37" s="1" t="s">
        <v>258</v>
      </c>
      <c r="K37" s="1" t="s">
        <v>259</v>
      </c>
    </row>
    <row r="38" spans="1:11" ht="180" x14ac:dyDescent="0.25">
      <c r="A38" t="s">
        <v>260</v>
      </c>
      <c r="B38" t="s">
        <v>214</v>
      </c>
      <c r="C38" t="s">
        <v>261</v>
      </c>
      <c r="D38" t="s">
        <v>262</v>
      </c>
      <c r="E38" t="s">
        <v>263</v>
      </c>
      <c r="F38">
        <v>5</v>
      </c>
      <c r="G38">
        <v>7</v>
      </c>
      <c r="H38">
        <v>4</v>
      </c>
      <c r="I38" s="1" t="s">
        <v>264</v>
      </c>
      <c r="J38" s="1" t="s">
        <v>265</v>
      </c>
      <c r="K38" s="1" t="s">
        <v>266</v>
      </c>
    </row>
    <row r="39" spans="1:11" ht="210" x14ac:dyDescent="0.25">
      <c r="A39" t="s">
        <v>267</v>
      </c>
      <c r="B39" t="s">
        <v>35</v>
      </c>
      <c r="C39" t="s">
        <v>268</v>
      </c>
      <c r="D39" t="s">
        <v>269</v>
      </c>
      <c r="E39" t="s">
        <v>270</v>
      </c>
      <c r="F39">
        <v>6</v>
      </c>
      <c r="G39">
        <v>10</v>
      </c>
      <c r="H39">
        <v>4</v>
      </c>
      <c r="I39" s="1" t="s">
        <v>271</v>
      </c>
      <c r="J39" s="1" t="s">
        <v>272</v>
      </c>
      <c r="K39" s="1" t="s">
        <v>273</v>
      </c>
    </row>
    <row r="40" spans="1:11" ht="75" x14ac:dyDescent="0.25">
      <c r="A40" t="s">
        <v>274</v>
      </c>
      <c r="B40" t="s">
        <v>35</v>
      </c>
      <c r="C40" t="s">
        <v>275</v>
      </c>
      <c r="D40" t="s">
        <v>276</v>
      </c>
      <c r="E40" t="s">
        <v>276</v>
      </c>
      <c r="F40">
        <v>2</v>
      </c>
      <c r="G40">
        <v>2</v>
      </c>
      <c r="H40">
        <v>1</v>
      </c>
      <c r="I40" s="1" t="s">
        <v>277</v>
      </c>
      <c r="J40" s="1" t="s">
        <v>278</v>
      </c>
      <c r="K40" s="1" t="s">
        <v>259</v>
      </c>
    </row>
    <row r="41" spans="1:11" ht="75" x14ac:dyDescent="0.25">
      <c r="A41" t="s">
        <v>279</v>
      </c>
      <c r="B41" t="s">
        <v>119</v>
      </c>
      <c r="C41" t="s">
        <v>280</v>
      </c>
      <c r="D41" t="s">
        <v>281</v>
      </c>
      <c r="E41" t="s">
        <v>281</v>
      </c>
      <c r="F41">
        <v>2</v>
      </c>
      <c r="G41">
        <v>2</v>
      </c>
      <c r="H41">
        <v>1</v>
      </c>
      <c r="I41" s="1" t="s">
        <v>282</v>
      </c>
      <c r="J41" s="1" t="s">
        <v>283</v>
      </c>
      <c r="K41" s="1" t="s">
        <v>284</v>
      </c>
    </row>
    <row r="42" spans="1:11" ht="165" x14ac:dyDescent="0.25">
      <c r="A42" t="s">
        <v>285</v>
      </c>
      <c r="B42" t="s">
        <v>93</v>
      </c>
      <c r="C42" t="s">
        <v>286</v>
      </c>
      <c r="D42" t="s">
        <v>287</v>
      </c>
      <c r="E42" t="s">
        <v>288</v>
      </c>
      <c r="F42">
        <v>4</v>
      </c>
      <c r="G42">
        <v>6</v>
      </c>
      <c r="H42">
        <v>2</v>
      </c>
      <c r="I42" s="1" t="s">
        <v>289</v>
      </c>
      <c r="J42" s="1" t="s">
        <v>290</v>
      </c>
      <c r="K42" s="1" t="s">
        <v>291</v>
      </c>
    </row>
    <row r="43" spans="1:11" ht="360" x14ac:dyDescent="0.25">
      <c r="A43" t="s">
        <v>292</v>
      </c>
      <c r="B43" t="s">
        <v>119</v>
      </c>
      <c r="C43" t="s">
        <v>293</v>
      </c>
      <c r="D43" t="s">
        <v>294</v>
      </c>
      <c r="E43" t="s">
        <v>295</v>
      </c>
      <c r="F43">
        <v>6</v>
      </c>
      <c r="G43">
        <v>19</v>
      </c>
      <c r="H43">
        <v>5</v>
      </c>
      <c r="I43" s="1" t="s">
        <v>296</v>
      </c>
      <c r="J43" s="1" t="s">
        <v>297</v>
      </c>
      <c r="K43" s="1" t="s">
        <v>298</v>
      </c>
    </row>
    <row r="44" spans="1:11" ht="165" x14ac:dyDescent="0.25">
      <c r="A44" t="s">
        <v>299</v>
      </c>
      <c r="B44" t="s">
        <v>214</v>
      </c>
      <c r="C44" t="s">
        <v>300</v>
      </c>
      <c r="D44" t="s">
        <v>301</v>
      </c>
      <c r="E44" t="s">
        <v>302</v>
      </c>
      <c r="F44">
        <v>4</v>
      </c>
      <c r="G44">
        <v>4</v>
      </c>
      <c r="H44">
        <v>3</v>
      </c>
      <c r="I44" s="1" t="s">
        <v>303</v>
      </c>
      <c r="J44" s="1" t="s">
        <v>304</v>
      </c>
      <c r="K44" s="1" t="s">
        <v>305</v>
      </c>
    </row>
    <row r="45" spans="1:11" ht="180" x14ac:dyDescent="0.25">
      <c r="A45" t="s">
        <v>306</v>
      </c>
      <c r="B45" t="s">
        <v>119</v>
      </c>
      <c r="C45" t="s">
        <v>307</v>
      </c>
      <c r="D45" t="s">
        <v>308</v>
      </c>
      <c r="E45" t="s">
        <v>309</v>
      </c>
      <c r="F45">
        <v>4</v>
      </c>
      <c r="G45">
        <v>7</v>
      </c>
      <c r="H45">
        <v>3</v>
      </c>
      <c r="I45" s="1" t="s">
        <v>310</v>
      </c>
      <c r="J45" s="1" t="s">
        <v>311</v>
      </c>
      <c r="K45" s="1" t="s">
        <v>312</v>
      </c>
    </row>
    <row r="46" spans="1:11" ht="135" x14ac:dyDescent="0.25">
      <c r="A46" t="s">
        <v>313</v>
      </c>
      <c r="B46" t="s">
        <v>35</v>
      </c>
      <c r="C46" t="s">
        <v>314</v>
      </c>
      <c r="D46" t="s">
        <v>315</v>
      </c>
      <c r="E46" t="s">
        <v>316</v>
      </c>
      <c r="F46">
        <v>4</v>
      </c>
      <c r="G46">
        <v>7</v>
      </c>
      <c r="H46">
        <v>4</v>
      </c>
      <c r="I46" s="1" t="s">
        <v>317</v>
      </c>
      <c r="J46" s="1" t="s">
        <v>318</v>
      </c>
      <c r="K46" s="1" t="s">
        <v>319</v>
      </c>
    </row>
    <row r="47" spans="1:11" ht="409.5" x14ac:dyDescent="0.25">
      <c r="A47" t="s">
        <v>320</v>
      </c>
      <c r="B47" t="s">
        <v>20</v>
      </c>
      <c r="C47" t="s">
        <v>321</v>
      </c>
      <c r="D47" t="s">
        <v>322</v>
      </c>
      <c r="E47" t="s">
        <v>323</v>
      </c>
      <c r="F47">
        <v>6</v>
      </c>
      <c r="G47">
        <v>24</v>
      </c>
      <c r="H47">
        <v>6</v>
      </c>
      <c r="I47" s="1" t="s">
        <v>324</v>
      </c>
      <c r="J47" s="1" t="s">
        <v>325</v>
      </c>
      <c r="K47" s="1" t="s">
        <v>326</v>
      </c>
    </row>
    <row r="48" spans="1:11" ht="45" x14ac:dyDescent="0.25">
      <c r="A48" t="s">
        <v>327</v>
      </c>
      <c r="B48" t="s">
        <v>93</v>
      </c>
      <c r="C48" t="s">
        <v>328</v>
      </c>
      <c r="D48" t="s">
        <v>329</v>
      </c>
      <c r="E48" t="s">
        <v>150</v>
      </c>
      <c r="F48">
        <v>1</v>
      </c>
      <c r="G48">
        <v>1</v>
      </c>
      <c r="H48">
        <v>0</v>
      </c>
      <c r="I48" s="1" t="s">
        <v>68</v>
      </c>
      <c r="J48" s="1" t="s">
        <v>330</v>
      </c>
    </row>
    <row r="49" spans="1:11" ht="105" x14ac:dyDescent="0.25">
      <c r="A49" t="s">
        <v>331</v>
      </c>
      <c r="B49" t="s">
        <v>78</v>
      </c>
      <c r="C49" t="s">
        <v>332</v>
      </c>
      <c r="D49" t="s">
        <v>333</v>
      </c>
      <c r="E49" t="s">
        <v>334</v>
      </c>
      <c r="F49">
        <v>3</v>
      </c>
      <c r="G49">
        <v>3</v>
      </c>
      <c r="H49">
        <v>2</v>
      </c>
      <c r="I49" s="1" t="s">
        <v>335</v>
      </c>
      <c r="J49" s="1" t="s">
        <v>336</v>
      </c>
      <c r="K49" s="1" t="s">
        <v>337</v>
      </c>
    </row>
    <row r="50" spans="1:11" ht="135" x14ac:dyDescent="0.25">
      <c r="A50" t="s">
        <v>338</v>
      </c>
      <c r="B50" t="s">
        <v>119</v>
      </c>
      <c r="C50" t="s">
        <v>339</v>
      </c>
      <c r="D50" t="s">
        <v>340</v>
      </c>
      <c r="E50" t="s">
        <v>340</v>
      </c>
      <c r="F50">
        <v>3</v>
      </c>
      <c r="G50">
        <v>4</v>
      </c>
      <c r="H50">
        <v>2</v>
      </c>
      <c r="I50" s="1" t="s">
        <v>341</v>
      </c>
      <c r="J50" s="1" t="s">
        <v>342</v>
      </c>
      <c r="K50" s="1" t="s">
        <v>343</v>
      </c>
    </row>
    <row r="51" spans="1:11" ht="165" x14ac:dyDescent="0.25">
      <c r="A51" t="s">
        <v>344</v>
      </c>
      <c r="B51" t="s">
        <v>93</v>
      </c>
      <c r="C51" t="s">
        <v>345</v>
      </c>
      <c r="D51" t="s">
        <v>346</v>
      </c>
      <c r="E51" t="s">
        <v>347</v>
      </c>
      <c r="F51">
        <v>4</v>
      </c>
      <c r="G51">
        <v>4</v>
      </c>
      <c r="H51">
        <v>3</v>
      </c>
      <c r="I51" s="1" t="s">
        <v>348</v>
      </c>
      <c r="J51" s="1" t="s">
        <v>349</v>
      </c>
      <c r="K51" s="1" t="s">
        <v>350</v>
      </c>
    </row>
    <row r="52" spans="1:11" ht="165" x14ac:dyDescent="0.25">
      <c r="A52" t="s">
        <v>351</v>
      </c>
      <c r="B52" t="s">
        <v>93</v>
      </c>
      <c r="C52" t="s">
        <v>352</v>
      </c>
      <c r="D52" t="s">
        <v>353</v>
      </c>
      <c r="E52" t="s">
        <v>354</v>
      </c>
      <c r="F52">
        <v>4</v>
      </c>
      <c r="G52">
        <v>6</v>
      </c>
      <c r="H52">
        <v>3</v>
      </c>
      <c r="I52" s="1" t="s">
        <v>355</v>
      </c>
      <c r="J52" s="1" t="s">
        <v>356</v>
      </c>
      <c r="K52" s="1" t="s">
        <v>357</v>
      </c>
    </row>
    <row r="53" spans="1:11" ht="105" x14ac:dyDescent="0.25">
      <c r="A53" t="s">
        <v>358</v>
      </c>
      <c r="B53" t="s">
        <v>78</v>
      </c>
      <c r="C53" t="s">
        <v>359</v>
      </c>
      <c r="D53" t="s">
        <v>360</v>
      </c>
      <c r="E53" t="s">
        <v>361</v>
      </c>
      <c r="F53">
        <v>3</v>
      </c>
      <c r="G53">
        <v>4</v>
      </c>
      <c r="H53">
        <v>2</v>
      </c>
      <c r="I53" s="1" t="s">
        <v>362</v>
      </c>
      <c r="J53" s="1" t="s">
        <v>363</v>
      </c>
      <c r="K53" s="1" t="s">
        <v>364</v>
      </c>
    </row>
    <row r="54" spans="1:11" ht="105" x14ac:dyDescent="0.25">
      <c r="A54" t="s">
        <v>365</v>
      </c>
      <c r="B54" t="s">
        <v>78</v>
      </c>
      <c r="C54" t="s">
        <v>366</v>
      </c>
      <c r="D54" t="s">
        <v>367</v>
      </c>
      <c r="E54" t="s">
        <v>368</v>
      </c>
      <c r="F54">
        <v>3</v>
      </c>
      <c r="G54">
        <v>5</v>
      </c>
      <c r="H54">
        <v>2</v>
      </c>
      <c r="I54" s="1" t="s">
        <v>369</v>
      </c>
      <c r="J54" s="1" t="s">
        <v>370</v>
      </c>
      <c r="K54" s="1" t="s">
        <v>371</v>
      </c>
    </row>
    <row r="55" spans="1:11" ht="120" x14ac:dyDescent="0.25">
      <c r="A55" t="s">
        <v>372</v>
      </c>
      <c r="B55" t="s">
        <v>78</v>
      </c>
      <c r="C55" t="s">
        <v>373</v>
      </c>
      <c r="D55" t="s">
        <v>374</v>
      </c>
      <c r="E55" t="s">
        <v>375</v>
      </c>
      <c r="F55">
        <v>4</v>
      </c>
      <c r="G55">
        <v>4</v>
      </c>
      <c r="H55">
        <v>2</v>
      </c>
      <c r="I55" s="1" t="s">
        <v>376</v>
      </c>
      <c r="J55" s="1" t="s">
        <v>377</v>
      </c>
      <c r="K55" s="1" t="s">
        <v>378</v>
      </c>
    </row>
    <row r="56" spans="1:11" ht="45" x14ac:dyDescent="0.25">
      <c r="A56" t="s">
        <v>379</v>
      </c>
      <c r="B56" t="s">
        <v>35</v>
      </c>
      <c r="C56" t="s">
        <v>380</v>
      </c>
      <c r="D56" t="s">
        <v>381</v>
      </c>
      <c r="E56" t="s">
        <v>381</v>
      </c>
      <c r="F56">
        <v>1</v>
      </c>
      <c r="G56">
        <v>1</v>
      </c>
      <c r="H56">
        <v>0</v>
      </c>
      <c r="I56" s="1" t="s">
        <v>68</v>
      </c>
      <c r="J56" s="1" t="s">
        <v>382</v>
      </c>
    </row>
    <row r="57" spans="1:11" ht="135" x14ac:dyDescent="0.25">
      <c r="A57" t="s">
        <v>383</v>
      </c>
      <c r="B57" t="s">
        <v>78</v>
      </c>
      <c r="C57" t="s">
        <v>384</v>
      </c>
      <c r="D57" t="s">
        <v>385</v>
      </c>
      <c r="E57" t="s">
        <v>386</v>
      </c>
      <c r="F57">
        <v>4</v>
      </c>
      <c r="G57">
        <v>5</v>
      </c>
      <c r="H57">
        <v>3</v>
      </c>
      <c r="I57" s="1" t="s">
        <v>387</v>
      </c>
      <c r="J57" s="1" t="s">
        <v>388</v>
      </c>
      <c r="K57" s="1" t="s">
        <v>389</v>
      </c>
    </row>
    <row r="58" spans="1:11" ht="60" x14ac:dyDescent="0.25">
      <c r="A58" t="s">
        <v>390</v>
      </c>
      <c r="B58" t="s">
        <v>43</v>
      </c>
      <c r="C58" t="s">
        <v>391</v>
      </c>
      <c r="D58" t="s">
        <v>392</v>
      </c>
      <c r="E58" t="s">
        <v>393</v>
      </c>
      <c r="F58">
        <v>2</v>
      </c>
      <c r="G58">
        <v>4</v>
      </c>
      <c r="H58">
        <v>1</v>
      </c>
      <c r="I58" s="1" t="s">
        <v>394</v>
      </c>
      <c r="J58" s="1" t="s">
        <v>395</v>
      </c>
      <c r="K58" s="1" t="s">
        <v>396</v>
      </c>
    </row>
    <row r="59" spans="1:11" ht="135" x14ac:dyDescent="0.25">
      <c r="A59" t="s">
        <v>397</v>
      </c>
      <c r="B59" t="s">
        <v>43</v>
      </c>
      <c r="C59" t="s">
        <v>398</v>
      </c>
      <c r="D59" t="s">
        <v>399</v>
      </c>
      <c r="E59" t="s">
        <v>400</v>
      </c>
      <c r="F59">
        <v>4</v>
      </c>
      <c r="G59">
        <v>6</v>
      </c>
      <c r="H59">
        <v>3</v>
      </c>
      <c r="I59" s="1" t="s">
        <v>401</v>
      </c>
      <c r="J59" s="1" t="s">
        <v>402</v>
      </c>
      <c r="K59" s="1" t="s">
        <v>403</v>
      </c>
    </row>
    <row r="60" spans="1:11" ht="405" x14ac:dyDescent="0.25">
      <c r="A60" t="s">
        <v>404</v>
      </c>
      <c r="B60" t="s">
        <v>119</v>
      </c>
      <c r="C60" t="s">
        <v>405</v>
      </c>
      <c r="D60" t="s">
        <v>406</v>
      </c>
      <c r="E60" t="s">
        <v>407</v>
      </c>
      <c r="F60">
        <v>6</v>
      </c>
      <c r="G60">
        <v>20</v>
      </c>
      <c r="H60">
        <v>5</v>
      </c>
      <c r="I60" s="1" t="s">
        <v>408</v>
      </c>
      <c r="J60" s="1" t="s">
        <v>409</v>
      </c>
      <c r="K60" s="1" t="s">
        <v>410</v>
      </c>
    </row>
    <row r="61" spans="1:11" ht="135" x14ac:dyDescent="0.25">
      <c r="A61" t="s">
        <v>411</v>
      </c>
      <c r="B61" t="s">
        <v>43</v>
      </c>
      <c r="C61" t="s">
        <v>412</v>
      </c>
      <c r="D61" t="s">
        <v>413</v>
      </c>
      <c r="E61" t="s">
        <v>414</v>
      </c>
      <c r="F61">
        <v>4</v>
      </c>
      <c r="G61">
        <v>4</v>
      </c>
      <c r="H61">
        <v>2</v>
      </c>
      <c r="I61" s="1" t="s">
        <v>415</v>
      </c>
      <c r="J61" s="1" t="s">
        <v>416</v>
      </c>
      <c r="K61" s="1" t="s">
        <v>417</v>
      </c>
    </row>
    <row r="62" spans="1:11" ht="409.5" x14ac:dyDescent="0.25">
      <c r="A62" t="s">
        <v>418</v>
      </c>
      <c r="B62" t="s">
        <v>43</v>
      </c>
      <c r="C62" t="s">
        <v>419</v>
      </c>
      <c r="D62" t="s">
        <v>420</v>
      </c>
      <c r="E62" t="s">
        <v>421</v>
      </c>
      <c r="F62">
        <v>7</v>
      </c>
      <c r="G62">
        <v>18</v>
      </c>
      <c r="H62">
        <v>5</v>
      </c>
      <c r="I62" s="1" t="s">
        <v>422</v>
      </c>
      <c r="J62" s="1" t="s">
        <v>423</v>
      </c>
      <c r="K62" s="1" t="s">
        <v>424</v>
      </c>
    </row>
    <row r="63" spans="1:11" ht="120" x14ac:dyDescent="0.25">
      <c r="A63" t="s">
        <v>425</v>
      </c>
      <c r="B63" t="s">
        <v>214</v>
      </c>
      <c r="C63" t="s">
        <v>426</v>
      </c>
      <c r="D63" t="s">
        <v>427</v>
      </c>
      <c r="E63" t="s">
        <v>428</v>
      </c>
      <c r="F63">
        <v>3</v>
      </c>
      <c r="G63">
        <v>3</v>
      </c>
      <c r="H63">
        <v>2</v>
      </c>
      <c r="I63" s="1" t="s">
        <v>429</v>
      </c>
      <c r="J63" s="1" t="s">
        <v>430</v>
      </c>
      <c r="K63" s="1" t="s">
        <v>431</v>
      </c>
    </row>
    <row r="64" spans="1:11" ht="135" x14ac:dyDescent="0.25">
      <c r="A64" t="s">
        <v>432</v>
      </c>
      <c r="B64" t="s">
        <v>214</v>
      </c>
      <c r="C64" t="s">
        <v>433</v>
      </c>
      <c r="D64" t="s">
        <v>434</v>
      </c>
      <c r="E64" t="s">
        <v>435</v>
      </c>
      <c r="F64">
        <v>4</v>
      </c>
      <c r="G64">
        <v>3</v>
      </c>
      <c r="H64">
        <v>3</v>
      </c>
      <c r="I64" s="1" t="s">
        <v>436</v>
      </c>
      <c r="J64" s="1" t="s">
        <v>437</v>
      </c>
      <c r="K64" s="1" t="s">
        <v>438</v>
      </c>
    </row>
    <row r="65" spans="1:11" ht="75" x14ac:dyDescent="0.25">
      <c r="A65" t="s">
        <v>439</v>
      </c>
      <c r="B65" t="s">
        <v>214</v>
      </c>
      <c r="C65" t="s">
        <v>440</v>
      </c>
      <c r="D65" t="s">
        <v>441</v>
      </c>
      <c r="E65" t="s">
        <v>442</v>
      </c>
      <c r="F65">
        <v>2</v>
      </c>
      <c r="G65">
        <v>3</v>
      </c>
      <c r="H65">
        <v>1</v>
      </c>
      <c r="I65" s="1" t="s">
        <v>443</v>
      </c>
      <c r="J65" s="1" t="s">
        <v>444</v>
      </c>
      <c r="K65" s="1" t="s">
        <v>445</v>
      </c>
    </row>
    <row r="66" spans="1:11" ht="240" x14ac:dyDescent="0.25">
      <c r="A66" t="s">
        <v>446</v>
      </c>
      <c r="B66" t="s">
        <v>43</v>
      </c>
      <c r="C66" t="s">
        <v>447</v>
      </c>
      <c r="D66" t="s">
        <v>448</v>
      </c>
      <c r="E66" t="s">
        <v>449</v>
      </c>
      <c r="F66">
        <v>6</v>
      </c>
      <c r="G66">
        <v>11</v>
      </c>
      <c r="H66">
        <v>4</v>
      </c>
      <c r="I66" s="1" t="s">
        <v>450</v>
      </c>
      <c r="J66" s="1" t="s">
        <v>451</v>
      </c>
      <c r="K66" s="1" t="s">
        <v>452</v>
      </c>
    </row>
    <row r="67" spans="1:11" ht="315" x14ac:dyDescent="0.25">
      <c r="A67" t="s">
        <v>453</v>
      </c>
      <c r="B67" t="s">
        <v>214</v>
      </c>
      <c r="C67" t="s">
        <v>454</v>
      </c>
      <c r="D67" t="s">
        <v>455</v>
      </c>
      <c r="E67" t="s">
        <v>456</v>
      </c>
      <c r="F67">
        <v>9</v>
      </c>
      <c r="G67">
        <v>13</v>
      </c>
      <c r="H67">
        <v>5</v>
      </c>
      <c r="I67" s="1" t="s">
        <v>457</v>
      </c>
      <c r="J67" s="1" t="s">
        <v>458</v>
      </c>
      <c r="K67" s="1" t="s">
        <v>459</v>
      </c>
    </row>
    <row r="68" spans="1:11" ht="105" x14ac:dyDescent="0.25">
      <c r="A68" t="s">
        <v>460</v>
      </c>
      <c r="B68" t="s">
        <v>20</v>
      </c>
      <c r="C68" t="s">
        <v>461</v>
      </c>
      <c r="D68" t="s">
        <v>462</v>
      </c>
      <c r="E68" t="s">
        <v>463</v>
      </c>
      <c r="F68">
        <v>3</v>
      </c>
      <c r="G68">
        <v>3</v>
      </c>
      <c r="H68">
        <v>2</v>
      </c>
      <c r="I68" s="1" t="s">
        <v>464</v>
      </c>
      <c r="J68" s="1" t="s">
        <v>465</v>
      </c>
      <c r="K68" s="1" t="s">
        <v>466</v>
      </c>
    </row>
    <row r="69" spans="1:11" ht="120" x14ac:dyDescent="0.25">
      <c r="A69" t="s">
        <v>467</v>
      </c>
      <c r="B69" t="s">
        <v>20</v>
      </c>
      <c r="C69" t="s">
        <v>468</v>
      </c>
      <c r="D69" t="s">
        <v>469</v>
      </c>
      <c r="E69" t="s">
        <v>470</v>
      </c>
      <c r="F69">
        <v>3</v>
      </c>
      <c r="G69">
        <v>4</v>
      </c>
      <c r="H69">
        <v>2</v>
      </c>
      <c r="I69" s="1" t="s">
        <v>471</v>
      </c>
      <c r="J69" s="1" t="s">
        <v>472</v>
      </c>
      <c r="K69" s="1" t="s">
        <v>473</v>
      </c>
    </row>
    <row r="70" spans="1:11" ht="120" x14ac:dyDescent="0.25">
      <c r="A70" t="s">
        <v>474</v>
      </c>
      <c r="B70" t="s">
        <v>20</v>
      </c>
      <c r="C70" t="s">
        <v>475</v>
      </c>
      <c r="D70" t="s">
        <v>476</v>
      </c>
      <c r="E70" t="s">
        <v>477</v>
      </c>
      <c r="F70">
        <v>3</v>
      </c>
      <c r="G70">
        <v>3</v>
      </c>
      <c r="H70">
        <v>2</v>
      </c>
      <c r="I70" s="1" t="s">
        <v>478</v>
      </c>
      <c r="J70" s="1" t="s">
        <v>479</v>
      </c>
      <c r="K70" s="1" t="s">
        <v>480</v>
      </c>
    </row>
    <row r="71" spans="1:11" ht="135" x14ac:dyDescent="0.25">
      <c r="A71" t="s">
        <v>481</v>
      </c>
      <c r="B71" t="s">
        <v>20</v>
      </c>
      <c r="C71" t="s">
        <v>482</v>
      </c>
      <c r="D71" t="s">
        <v>483</v>
      </c>
      <c r="E71" t="s">
        <v>484</v>
      </c>
      <c r="F71">
        <v>3</v>
      </c>
      <c r="G71">
        <v>4</v>
      </c>
      <c r="H71">
        <v>2</v>
      </c>
      <c r="I71" s="1" t="s">
        <v>485</v>
      </c>
      <c r="J71" s="1" t="s">
        <v>486</v>
      </c>
      <c r="K71" s="1" t="s">
        <v>487</v>
      </c>
    </row>
    <row r="72" spans="1:11" ht="135" x14ac:dyDescent="0.25">
      <c r="A72" t="s">
        <v>488</v>
      </c>
      <c r="B72" t="s">
        <v>20</v>
      </c>
      <c r="C72" t="s">
        <v>489</v>
      </c>
      <c r="D72" t="s">
        <v>490</v>
      </c>
      <c r="E72" t="s">
        <v>491</v>
      </c>
      <c r="F72">
        <v>4</v>
      </c>
      <c r="G72">
        <v>4</v>
      </c>
      <c r="H72">
        <v>3</v>
      </c>
      <c r="I72" s="1" t="s">
        <v>492</v>
      </c>
      <c r="J72" s="1" t="s">
        <v>493</v>
      </c>
      <c r="K72" s="1" t="s">
        <v>494</v>
      </c>
    </row>
    <row r="73" spans="1:11" ht="45" x14ac:dyDescent="0.25">
      <c r="A73" t="s">
        <v>495</v>
      </c>
      <c r="B73" t="s">
        <v>20</v>
      </c>
      <c r="C73" t="s">
        <v>496</v>
      </c>
      <c r="D73" t="s">
        <v>497</v>
      </c>
      <c r="E73" t="s">
        <v>150</v>
      </c>
      <c r="F73">
        <v>1</v>
      </c>
      <c r="G73">
        <v>1</v>
      </c>
      <c r="H73">
        <v>0</v>
      </c>
      <c r="I73" s="1" t="s">
        <v>68</v>
      </c>
      <c r="J73" s="1" t="s">
        <v>498</v>
      </c>
    </row>
    <row r="74" spans="1:11" ht="120" x14ac:dyDescent="0.25">
      <c r="A74" t="s">
        <v>499</v>
      </c>
      <c r="B74" t="s">
        <v>20</v>
      </c>
      <c r="C74" t="s">
        <v>500</v>
      </c>
      <c r="D74" t="s">
        <v>501</v>
      </c>
      <c r="E74" t="s">
        <v>502</v>
      </c>
      <c r="F74">
        <v>3</v>
      </c>
      <c r="G74">
        <v>2</v>
      </c>
      <c r="H74">
        <v>1</v>
      </c>
      <c r="I74" s="1" t="s">
        <v>503</v>
      </c>
      <c r="J74" s="1" t="s">
        <v>504</v>
      </c>
      <c r="K74" s="1" t="s">
        <v>505</v>
      </c>
    </row>
    <row r="75" spans="1:11" ht="180" x14ac:dyDescent="0.25">
      <c r="A75" t="s">
        <v>506</v>
      </c>
      <c r="B75" t="s">
        <v>20</v>
      </c>
      <c r="C75" t="s">
        <v>507</v>
      </c>
      <c r="D75" t="s">
        <v>508</v>
      </c>
      <c r="E75" t="s">
        <v>509</v>
      </c>
      <c r="F75">
        <v>4</v>
      </c>
      <c r="G75">
        <v>3</v>
      </c>
      <c r="H75">
        <v>2</v>
      </c>
      <c r="I75" s="1" t="s">
        <v>510</v>
      </c>
      <c r="J75" s="1" t="s">
        <v>511</v>
      </c>
      <c r="K75" s="1" t="s">
        <v>512</v>
      </c>
    </row>
    <row r="76" spans="1:11" ht="165" x14ac:dyDescent="0.25">
      <c r="A76" t="s">
        <v>513</v>
      </c>
      <c r="B76" t="s">
        <v>20</v>
      </c>
      <c r="C76" t="s">
        <v>507</v>
      </c>
      <c r="D76" t="s">
        <v>508</v>
      </c>
      <c r="E76" t="s">
        <v>509</v>
      </c>
      <c r="F76">
        <v>4</v>
      </c>
      <c r="G76">
        <v>3</v>
      </c>
      <c r="H76">
        <v>3</v>
      </c>
      <c r="I76" s="1" t="s">
        <v>514</v>
      </c>
      <c r="J76" s="1" t="s">
        <v>515</v>
      </c>
      <c r="K76" s="1" t="s">
        <v>516</v>
      </c>
    </row>
    <row r="77" spans="1:11" ht="105" x14ac:dyDescent="0.25">
      <c r="A77" t="s">
        <v>517</v>
      </c>
      <c r="B77" t="s">
        <v>20</v>
      </c>
      <c r="C77" t="s">
        <v>518</v>
      </c>
      <c r="D77" t="s">
        <v>519</v>
      </c>
      <c r="E77" t="s">
        <v>520</v>
      </c>
      <c r="F77">
        <v>3</v>
      </c>
      <c r="G77">
        <v>3</v>
      </c>
      <c r="H77">
        <v>2</v>
      </c>
      <c r="I77" s="1" t="s">
        <v>521</v>
      </c>
      <c r="J77" s="1" t="s">
        <v>522</v>
      </c>
      <c r="K77" s="1" t="s">
        <v>523</v>
      </c>
    </row>
    <row r="78" spans="1:11" ht="135" x14ac:dyDescent="0.25">
      <c r="A78" t="s">
        <v>524</v>
      </c>
      <c r="B78" t="s">
        <v>20</v>
      </c>
      <c r="C78" t="s">
        <v>525</v>
      </c>
      <c r="D78" t="s">
        <v>526</v>
      </c>
      <c r="E78" t="s">
        <v>527</v>
      </c>
      <c r="F78">
        <v>4</v>
      </c>
      <c r="G78">
        <v>7</v>
      </c>
      <c r="H78">
        <v>3</v>
      </c>
      <c r="I78" s="1" t="s">
        <v>528</v>
      </c>
      <c r="J78" s="1" t="s">
        <v>529</v>
      </c>
      <c r="K78" s="1" t="s">
        <v>530</v>
      </c>
    </row>
    <row r="79" spans="1:11" ht="120" x14ac:dyDescent="0.25">
      <c r="A79" t="s">
        <v>531</v>
      </c>
      <c r="B79" t="s">
        <v>20</v>
      </c>
      <c r="C79" t="e">
        <f>- the color is hard to identify (on the orange lined) - difficult to understand how spread the color zone on the map</f>
        <v>#NAME?</v>
      </c>
      <c r="D79" t="s">
        <v>532</v>
      </c>
      <c r="E79" t="s">
        <v>150</v>
      </c>
      <c r="F79">
        <v>3</v>
      </c>
      <c r="G79">
        <v>2</v>
      </c>
      <c r="H79">
        <v>2</v>
      </c>
      <c r="I79" s="1" t="s">
        <v>533</v>
      </c>
      <c r="J79" s="1" t="s">
        <v>534</v>
      </c>
      <c r="K79" s="1" t="s">
        <v>535</v>
      </c>
    </row>
    <row r="80" spans="1:11" ht="180" x14ac:dyDescent="0.25">
      <c r="A80" t="s">
        <v>536</v>
      </c>
      <c r="B80" t="s">
        <v>20</v>
      </c>
      <c r="C80" t="s">
        <v>537</v>
      </c>
      <c r="D80" t="s">
        <v>538</v>
      </c>
      <c r="E80" t="s">
        <v>539</v>
      </c>
      <c r="F80">
        <v>5</v>
      </c>
      <c r="G80">
        <v>8</v>
      </c>
      <c r="H80">
        <v>4</v>
      </c>
      <c r="I80" s="1" t="s">
        <v>540</v>
      </c>
      <c r="J80" s="1" t="s">
        <v>541</v>
      </c>
      <c r="K80" s="1" t="s">
        <v>542</v>
      </c>
    </row>
    <row r="81" spans="1:11" ht="90" x14ac:dyDescent="0.25">
      <c r="A81" t="s">
        <v>543</v>
      </c>
      <c r="B81" t="s">
        <v>20</v>
      </c>
      <c r="C81" t="s">
        <v>544</v>
      </c>
      <c r="D81" t="s">
        <v>545</v>
      </c>
      <c r="E81" t="s">
        <v>546</v>
      </c>
      <c r="F81">
        <v>2</v>
      </c>
      <c r="G81">
        <v>2</v>
      </c>
      <c r="H81">
        <v>1</v>
      </c>
      <c r="I81" s="1" t="s">
        <v>547</v>
      </c>
      <c r="J81" s="1" t="s">
        <v>548</v>
      </c>
      <c r="K81" s="1" t="s">
        <v>549</v>
      </c>
    </row>
    <row r="82" spans="1:11" ht="135" x14ac:dyDescent="0.25">
      <c r="A82" t="s">
        <v>550</v>
      </c>
      <c r="B82" t="s">
        <v>20</v>
      </c>
      <c r="C82" t="s">
        <v>551</v>
      </c>
      <c r="D82" t="s">
        <v>552</v>
      </c>
      <c r="E82" t="s">
        <v>553</v>
      </c>
      <c r="F82">
        <v>3</v>
      </c>
      <c r="G82">
        <v>3</v>
      </c>
      <c r="H82">
        <v>2</v>
      </c>
      <c r="I82" s="1" t="s">
        <v>554</v>
      </c>
      <c r="J82" s="1" t="s">
        <v>555</v>
      </c>
      <c r="K82" s="1" t="s">
        <v>556</v>
      </c>
    </row>
    <row r="83" spans="1:11" ht="255" x14ac:dyDescent="0.25">
      <c r="A83" t="s">
        <v>557</v>
      </c>
      <c r="B83" t="s">
        <v>20</v>
      </c>
      <c r="C83" t="s">
        <v>558</v>
      </c>
      <c r="D83" t="s">
        <v>559</v>
      </c>
      <c r="E83" t="s">
        <v>560</v>
      </c>
      <c r="F83">
        <v>5</v>
      </c>
      <c r="G83">
        <v>10</v>
      </c>
      <c r="H83">
        <v>4</v>
      </c>
      <c r="I83" s="1" t="s">
        <v>561</v>
      </c>
      <c r="J83" s="1" t="s">
        <v>562</v>
      </c>
      <c r="K83" s="1" t="s">
        <v>563</v>
      </c>
    </row>
    <row r="84" spans="1:11" ht="225" x14ac:dyDescent="0.25">
      <c r="A84" t="s">
        <v>564</v>
      </c>
      <c r="B84" t="s">
        <v>20</v>
      </c>
      <c r="C84" t="s">
        <v>565</v>
      </c>
      <c r="D84" t="s">
        <v>566</v>
      </c>
      <c r="E84" t="s">
        <v>567</v>
      </c>
      <c r="F84">
        <v>6</v>
      </c>
      <c r="G84">
        <v>9</v>
      </c>
      <c r="H84">
        <v>4</v>
      </c>
      <c r="I84" s="1" t="s">
        <v>568</v>
      </c>
      <c r="J84" s="1" t="s">
        <v>569</v>
      </c>
      <c r="K84" s="1" t="s">
        <v>570</v>
      </c>
    </row>
    <row r="85" spans="1:11" ht="45" x14ac:dyDescent="0.25">
      <c r="A85" t="s">
        <v>571</v>
      </c>
      <c r="B85" t="s">
        <v>20</v>
      </c>
      <c r="C85" t="s">
        <v>572</v>
      </c>
      <c r="D85" t="s">
        <v>573</v>
      </c>
      <c r="E85" t="s">
        <v>150</v>
      </c>
      <c r="F85">
        <v>1</v>
      </c>
      <c r="G85">
        <v>1</v>
      </c>
      <c r="H85">
        <v>0</v>
      </c>
      <c r="I85" s="1" t="s">
        <v>68</v>
      </c>
      <c r="J85" s="1" t="s">
        <v>574</v>
      </c>
    </row>
    <row r="86" spans="1:11" ht="90" x14ac:dyDescent="0.25">
      <c r="A86" t="s">
        <v>575</v>
      </c>
      <c r="B86" t="s">
        <v>20</v>
      </c>
      <c r="C86" t="s">
        <v>576</v>
      </c>
      <c r="D86" t="s">
        <v>577</v>
      </c>
      <c r="E86" t="s">
        <v>578</v>
      </c>
      <c r="F86">
        <v>3</v>
      </c>
      <c r="G86">
        <v>3</v>
      </c>
      <c r="H86">
        <v>2</v>
      </c>
      <c r="I86" s="1" t="s">
        <v>579</v>
      </c>
      <c r="J86" s="1" t="s">
        <v>580</v>
      </c>
      <c r="K86" s="1" t="s">
        <v>581</v>
      </c>
    </row>
    <row r="87" spans="1:11" ht="315" x14ac:dyDescent="0.25">
      <c r="A87" t="s">
        <v>582</v>
      </c>
      <c r="B87" t="s">
        <v>20</v>
      </c>
      <c r="C87" t="s">
        <v>583</v>
      </c>
      <c r="D87" t="s">
        <v>584</v>
      </c>
      <c r="E87" t="s">
        <v>585</v>
      </c>
      <c r="F87">
        <v>5</v>
      </c>
      <c r="G87">
        <v>13</v>
      </c>
      <c r="H87">
        <v>4</v>
      </c>
      <c r="I87" s="1" t="s">
        <v>586</v>
      </c>
      <c r="J87" s="1" t="s">
        <v>587</v>
      </c>
      <c r="K87" s="1" t="s">
        <v>588</v>
      </c>
    </row>
    <row r="88" spans="1:11" ht="45" x14ac:dyDescent="0.25">
      <c r="A88" t="s">
        <v>589</v>
      </c>
      <c r="B88" t="s">
        <v>20</v>
      </c>
      <c r="C88" t="s">
        <v>590</v>
      </c>
      <c r="D88" t="s">
        <v>591</v>
      </c>
      <c r="E88" t="s">
        <v>150</v>
      </c>
      <c r="F88">
        <v>1</v>
      </c>
      <c r="G88">
        <v>1</v>
      </c>
      <c r="H88">
        <v>0</v>
      </c>
      <c r="I88" s="1" t="s">
        <v>592</v>
      </c>
      <c r="J88" s="1" t="s">
        <v>593</v>
      </c>
    </row>
    <row r="89" spans="1:11" ht="90" x14ac:dyDescent="0.25">
      <c r="A89" t="s">
        <v>594</v>
      </c>
      <c r="B89" t="s">
        <v>20</v>
      </c>
      <c r="C89" t="s">
        <v>595</v>
      </c>
      <c r="D89" t="s">
        <v>596</v>
      </c>
      <c r="E89" t="s">
        <v>150</v>
      </c>
      <c r="F89">
        <v>2</v>
      </c>
      <c r="G89">
        <v>3</v>
      </c>
      <c r="H89">
        <v>1</v>
      </c>
      <c r="I89" s="1" t="s">
        <v>597</v>
      </c>
      <c r="J89" s="1" t="s">
        <v>598</v>
      </c>
      <c r="K89" s="1" t="s">
        <v>599</v>
      </c>
    </row>
    <row r="90" spans="1:11" ht="135" x14ac:dyDescent="0.25">
      <c r="A90" t="s">
        <v>600</v>
      </c>
      <c r="B90" t="s">
        <v>20</v>
      </c>
      <c r="C90" t="s">
        <v>601</v>
      </c>
      <c r="D90" t="s">
        <v>602</v>
      </c>
      <c r="E90" t="s">
        <v>603</v>
      </c>
      <c r="F90">
        <v>4</v>
      </c>
      <c r="G90">
        <v>7</v>
      </c>
      <c r="H90">
        <v>3</v>
      </c>
      <c r="I90" s="1" t="s">
        <v>604</v>
      </c>
      <c r="J90" s="1" t="s">
        <v>605</v>
      </c>
      <c r="K90" s="1" t="s">
        <v>606</v>
      </c>
    </row>
    <row r="91" spans="1:11" ht="105" x14ac:dyDescent="0.25">
      <c r="A91" t="s">
        <v>607</v>
      </c>
      <c r="B91" t="s">
        <v>20</v>
      </c>
      <c r="C91" t="s">
        <v>608</v>
      </c>
      <c r="D91" t="s">
        <v>609</v>
      </c>
      <c r="E91" t="s">
        <v>610</v>
      </c>
      <c r="F91">
        <v>3</v>
      </c>
      <c r="G91">
        <v>3</v>
      </c>
      <c r="H91">
        <v>2</v>
      </c>
      <c r="I91" s="1" t="s">
        <v>611</v>
      </c>
      <c r="J91" s="1" t="s">
        <v>612</v>
      </c>
      <c r="K91" s="1" t="s">
        <v>613</v>
      </c>
    </row>
    <row r="92" spans="1:11" ht="75" x14ac:dyDescent="0.25">
      <c r="A92" t="s">
        <v>614</v>
      </c>
      <c r="B92" t="s">
        <v>20</v>
      </c>
      <c r="C92" t="s">
        <v>615</v>
      </c>
      <c r="D92" t="s">
        <v>616</v>
      </c>
      <c r="E92" t="s">
        <v>617</v>
      </c>
      <c r="F92">
        <v>3</v>
      </c>
      <c r="G92">
        <v>3</v>
      </c>
      <c r="H92">
        <v>2</v>
      </c>
      <c r="I92" s="1" t="s">
        <v>618</v>
      </c>
      <c r="J92" s="1" t="s">
        <v>619</v>
      </c>
      <c r="K92" s="1" t="s">
        <v>620</v>
      </c>
    </row>
    <row r="93" spans="1:11" ht="120" x14ac:dyDescent="0.25">
      <c r="A93" t="s">
        <v>621</v>
      </c>
      <c r="B93" t="s">
        <v>20</v>
      </c>
      <c r="C93" t="s">
        <v>622</v>
      </c>
      <c r="D93" t="s">
        <v>623</v>
      </c>
      <c r="E93" t="s">
        <v>624</v>
      </c>
      <c r="F93">
        <v>3</v>
      </c>
      <c r="G93">
        <v>4</v>
      </c>
      <c r="H93">
        <v>2</v>
      </c>
      <c r="I93" s="1" t="s">
        <v>625</v>
      </c>
      <c r="J93" s="1" t="s">
        <v>626</v>
      </c>
      <c r="K93" s="1" t="s">
        <v>627</v>
      </c>
    </row>
    <row r="94" spans="1:11" ht="60" x14ac:dyDescent="0.25">
      <c r="A94" t="s">
        <v>628</v>
      </c>
      <c r="B94" t="s">
        <v>20</v>
      </c>
      <c r="C94" t="s">
        <v>629</v>
      </c>
      <c r="D94" t="s">
        <v>630</v>
      </c>
      <c r="E94" t="s">
        <v>630</v>
      </c>
      <c r="F94">
        <v>2</v>
      </c>
      <c r="G94">
        <v>2</v>
      </c>
      <c r="H94">
        <v>1</v>
      </c>
      <c r="I94" s="1" t="s">
        <v>631</v>
      </c>
      <c r="J94" s="1" t="s">
        <v>632</v>
      </c>
      <c r="K94" s="1" t="s">
        <v>633</v>
      </c>
    </row>
    <row r="95" spans="1:11" ht="75" x14ac:dyDescent="0.25">
      <c r="A95" t="s">
        <v>634</v>
      </c>
      <c r="B95" t="s">
        <v>20</v>
      </c>
      <c r="C95" t="s">
        <v>635</v>
      </c>
      <c r="D95" t="s">
        <v>636</v>
      </c>
      <c r="E95" t="s">
        <v>637</v>
      </c>
      <c r="F95">
        <v>2</v>
      </c>
      <c r="G95">
        <v>2</v>
      </c>
      <c r="H95">
        <v>1</v>
      </c>
      <c r="I95" s="1" t="s">
        <v>638</v>
      </c>
      <c r="J95" s="1" t="s">
        <v>639</v>
      </c>
      <c r="K95" s="1" t="s">
        <v>640</v>
      </c>
    </row>
    <row r="96" spans="1:11" ht="45" x14ac:dyDescent="0.25">
      <c r="A96" t="s">
        <v>641</v>
      </c>
      <c r="B96" t="s">
        <v>20</v>
      </c>
      <c r="C96" t="s">
        <v>642</v>
      </c>
      <c r="D96" t="s">
        <v>643</v>
      </c>
      <c r="E96" t="s">
        <v>95</v>
      </c>
      <c r="F96">
        <v>1</v>
      </c>
      <c r="G96">
        <v>1</v>
      </c>
      <c r="H96">
        <v>0</v>
      </c>
      <c r="I96" s="1" t="s">
        <v>68</v>
      </c>
      <c r="J96" s="1" t="s">
        <v>644</v>
      </c>
    </row>
    <row r="97" spans="1:11" ht="45" x14ac:dyDescent="0.25">
      <c r="A97" t="s">
        <v>645</v>
      </c>
      <c r="B97" t="s">
        <v>20</v>
      </c>
      <c r="C97" t="s">
        <v>646</v>
      </c>
      <c r="D97" t="s">
        <v>647</v>
      </c>
      <c r="E97" t="s">
        <v>150</v>
      </c>
      <c r="F97">
        <v>1</v>
      </c>
      <c r="G97">
        <v>1</v>
      </c>
      <c r="H97">
        <v>0</v>
      </c>
      <c r="I97" s="1" t="s">
        <v>68</v>
      </c>
      <c r="J97" s="1" t="s">
        <v>648</v>
      </c>
    </row>
    <row r="98" spans="1:11" ht="150" x14ac:dyDescent="0.25">
      <c r="A98" t="s">
        <v>649</v>
      </c>
      <c r="B98" t="s">
        <v>20</v>
      </c>
      <c r="C98" t="s">
        <v>650</v>
      </c>
      <c r="D98" t="s">
        <v>651</v>
      </c>
      <c r="E98" t="s">
        <v>652</v>
      </c>
      <c r="F98">
        <v>4</v>
      </c>
      <c r="G98">
        <v>4</v>
      </c>
      <c r="H98">
        <v>3</v>
      </c>
      <c r="I98" s="1" t="s">
        <v>653</v>
      </c>
      <c r="J98" s="1" t="s">
        <v>654</v>
      </c>
      <c r="K98" s="1" t="s">
        <v>655</v>
      </c>
    </row>
    <row r="99" spans="1:11" ht="45" x14ac:dyDescent="0.25">
      <c r="A99" t="s">
        <v>656</v>
      </c>
      <c r="B99" t="s">
        <v>20</v>
      </c>
      <c r="C99" t="s">
        <v>657</v>
      </c>
      <c r="D99" t="s">
        <v>658</v>
      </c>
      <c r="E99" t="s">
        <v>150</v>
      </c>
      <c r="F99">
        <v>1</v>
      </c>
      <c r="G99">
        <v>1</v>
      </c>
      <c r="H99">
        <v>0</v>
      </c>
      <c r="I99" s="1" t="s">
        <v>68</v>
      </c>
      <c r="J99" s="1" t="s">
        <v>659</v>
      </c>
    </row>
    <row r="100" spans="1:11" ht="60" x14ac:dyDescent="0.25">
      <c r="A100" t="s">
        <v>660</v>
      </c>
      <c r="B100" t="s">
        <v>20</v>
      </c>
      <c r="C100" t="s">
        <v>661</v>
      </c>
      <c r="D100" t="s">
        <v>662</v>
      </c>
      <c r="E100" t="s">
        <v>663</v>
      </c>
      <c r="F100">
        <v>2</v>
      </c>
      <c r="G100">
        <v>2</v>
      </c>
      <c r="H100">
        <v>1</v>
      </c>
      <c r="I100" s="1" t="s">
        <v>664</v>
      </c>
      <c r="J100" s="1" t="s">
        <v>665</v>
      </c>
      <c r="K100" s="1" t="s">
        <v>666</v>
      </c>
    </row>
    <row r="101" spans="1:11" ht="409.5" x14ac:dyDescent="0.25">
      <c r="A101" t="s">
        <v>667</v>
      </c>
      <c r="B101" t="s">
        <v>20</v>
      </c>
      <c r="C101" t="s">
        <v>668</v>
      </c>
      <c r="D101" t="s">
        <v>669</v>
      </c>
      <c r="E101" t="s">
        <v>670</v>
      </c>
      <c r="F101">
        <v>6</v>
      </c>
      <c r="G101">
        <v>21</v>
      </c>
      <c r="H101">
        <v>5</v>
      </c>
      <c r="I101" s="1" t="s">
        <v>671</v>
      </c>
      <c r="J101" s="1" t="s">
        <v>672</v>
      </c>
      <c r="K101" s="1" t="s">
        <v>673</v>
      </c>
    </row>
    <row r="102" spans="1:11" ht="75" x14ac:dyDescent="0.25">
      <c r="A102" t="s">
        <v>674</v>
      </c>
      <c r="B102" t="s">
        <v>20</v>
      </c>
      <c r="C102" t="s">
        <v>675</v>
      </c>
      <c r="D102" t="s">
        <v>676</v>
      </c>
      <c r="E102" t="s">
        <v>677</v>
      </c>
      <c r="F102">
        <v>2</v>
      </c>
      <c r="G102">
        <v>3</v>
      </c>
      <c r="H102">
        <v>1</v>
      </c>
      <c r="I102" s="1" t="s">
        <v>678</v>
      </c>
      <c r="J102" s="1" t="s">
        <v>679</v>
      </c>
      <c r="K102" s="1" t="s">
        <v>680</v>
      </c>
    </row>
    <row r="103" spans="1:11" ht="75" x14ac:dyDescent="0.25">
      <c r="A103" t="s">
        <v>681</v>
      </c>
      <c r="B103" t="s">
        <v>20</v>
      </c>
      <c r="C103" t="s">
        <v>682</v>
      </c>
      <c r="D103" t="s">
        <v>683</v>
      </c>
      <c r="E103" t="s">
        <v>684</v>
      </c>
      <c r="F103">
        <v>2</v>
      </c>
      <c r="G103">
        <v>2</v>
      </c>
      <c r="H103">
        <v>1</v>
      </c>
      <c r="I103" s="1" t="s">
        <v>685</v>
      </c>
      <c r="J103" s="1" t="s">
        <v>686</v>
      </c>
      <c r="K103" s="1" t="s">
        <v>687</v>
      </c>
    </row>
    <row r="104" spans="1:11" ht="409.5" x14ac:dyDescent="0.25">
      <c r="A104" t="s">
        <v>688</v>
      </c>
      <c r="B104" t="s">
        <v>20</v>
      </c>
      <c r="C104" t="s">
        <v>689</v>
      </c>
      <c r="D104" t="s">
        <v>690</v>
      </c>
      <c r="E104" t="s">
        <v>691</v>
      </c>
      <c r="F104">
        <v>6</v>
      </c>
      <c r="G104">
        <v>20</v>
      </c>
      <c r="H104">
        <v>5</v>
      </c>
      <c r="I104" s="1" t="s">
        <v>692</v>
      </c>
      <c r="J104" s="1" t="s">
        <v>693</v>
      </c>
      <c r="K104" s="1" t="s">
        <v>694</v>
      </c>
    </row>
    <row r="105" spans="1:11" ht="45" x14ac:dyDescent="0.25">
      <c r="A105" t="s">
        <v>695</v>
      </c>
      <c r="B105" t="s">
        <v>20</v>
      </c>
      <c r="C105" t="s">
        <v>696</v>
      </c>
      <c r="D105" t="s">
        <v>697</v>
      </c>
      <c r="E105" t="s">
        <v>698</v>
      </c>
      <c r="F105">
        <v>1</v>
      </c>
      <c r="G105">
        <v>1</v>
      </c>
      <c r="H105">
        <v>0</v>
      </c>
      <c r="I105" s="1" t="s">
        <v>699</v>
      </c>
      <c r="J105" s="1" t="s">
        <v>700</v>
      </c>
    </row>
    <row r="106" spans="1:11" ht="30" x14ac:dyDescent="0.25">
      <c r="A106" t="s">
        <v>701</v>
      </c>
      <c r="B106" t="s">
        <v>20</v>
      </c>
      <c r="C106" t="s">
        <v>702</v>
      </c>
      <c r="D106" t="s">
        <v>698</v>
      </c>
      <c r="E106" t="s">
        <v>698</v>
      </c>
      <c r="F106">
        <v>1</v>
      </c>
      <c r="G106">
        <v>1</v>
      </c>
      <c r="H106">
        <v>0</v>
      </c>
      <c r="I106" s="1" t="s">
        <v>703</v>
      </c>
      <c r="J106" s="1" t="s">
        <v>704</v>
      </c>
    </row>
    <row r="107" spans="1:11" ht="45" x14ac:dyDescent="0.25">
      <c r="A107" t="s">
        <v>705</v>
      </c>
      <c r="B107" t="s">
        <v>20</v>
      </c>
      <c r="C107" t="s">
        <v>706</v>
      </c>
      <c r="D107" t="s">
        <v>707</v>
      </c>
      <c r="E107" t="s">
        <v>698</v>
      </c>
      <c r="F107">
        <v>1</v>
      </c>
      <c r="G107">
        <v>1</v>
      </c>
      <c r="H107">
        <v>0</v>
      </c>
      <c r="I107" s="1" t="s">
        <v>68</v>
      </c>
      <c r="J107" s="1" t="s">
        <v>708</v>
      </c>
    </row>
    <row r="108" spans="1:11" ht="120" x14ac:dyDescent="0.25">
      <c r="A108" t="s">
        <v>709</v>
      </c>
      <c r="B108" t="s">
        <v>20</v>
      </c>
      <c r="C108" t="s">
        <v>710</v>
      </c>
      <c r="D108" t="s">
        <v>711</v>
      </c>
      <c r="E108" t="s">
        <v>712</v>
      </c>
      <c r="F108">
        <v>3</v>
      </c>
      <c r="G108">
        <v>2</v>
      </c>
      <c r="H108">
        <v>2</v>
      </c>
      <c r="I108" s="1" t="s">
        <v>713</v>
      </c>
      <c r="J108" s="1" t="s">
        <v>714</v>
      </c>
      <c r="K108" s="1" t="s">
        <v>715</v>
      </c>
    </row>
    <row r="109" spans="1:11" ht="135" x14ac:dyDescent="0.25">
      <c r="A109" t="s">
        <v>716</v>
      </c>
      <c r="B109" t="s">
        <v>20</v>
      </c>
      <c r="C109" t="e">
        <f>- Almost no explanation - no graphic leyend - no axis</f>
        <v>#NAME?</v>
      </c>
      <c r="D109" t="s">
        <v>717</v>
      </c>
      <c r="E109" t="s">
        <v>15</v>
      </c>
      <c r="F109">
        <v>4</v>
      </c>
      <c r="G109">
        <v>3</v>
      </c>
      <c r="H109">
        <v>3</v>
      </c>
      <c r="I109" s="1" t="s">
        <v>718</v>
      </c>
      <c r="J109" s="1" t="s">
        <v>719</v>
      </c>
      <c r="K109" s="1" t="s">
        <v>720</v>
      </c>
    </row>
    <row r="110" spans="1:11" ht="45" x14ac:dyDescent="0.25">
      <c r="A110" t="s">
        <v>721</v>
      </c>
      <c r="B110" t="s">
        <v>20</v>
      </c>
      <c r="C110" t="s">
        <v>722</v>
      </c>
      <c r="D110" t="s">
        <v>723</v>
      </c>
      <c r="E110" t="s">
        <v>724</v>
      </c>
      <c r="F110">
        <v>1</v>
      </c>
      <c r="G110">
        <v>1</v>
      </c>
      <c r="H110">
        <v>0</v>
      </c>
      <c r="I110" s="1" t="s">
        <v>68</v>
      </c>
      <c r="J110" s="1" t="s">
        <v>725</v>
      </c>
    </row>
    <row r="111" spans="1:11" ht="60" x14ac:dyDescent="0.25">
      <c r="A111" t="s">
        <v>726</v>
      </c>
      <c r="B111" t="s">
        <v>20</v>
      </c>
      <c r="C111" t="s">
        <v>727</v>
      </c>
      <c r="D111" t="s">
        <v>728</v>
      </c>
      <c r="E111" t="s">
        <v>155</v>
      </c>
      <c r="F111">
        <v>1</v>
      </c>
      <c r="G111">
        <v>2</v>
      </c>
      <c r="H111">
        <v>1</v>
      </c>
      <c r="I111" s="1" t="s">
        <v>729</v>
      </c>
      <c r="J111" s="1" t="s">
        <v>730</v>
      </c>
      <c r="K111" s="1" t="s">
        <v>731</v>
      </c>
    </row>
    <row r="112" spans="1:11" ht="75" x14ac:dyDescent="0.25">
      <c r="A112" t="s">
        <v>732</v>
      </c>
      <c r="B112" t="s">
        <v>20</v>
      </c>
      <c r="C112" t="s">
        <v>733</v>
      </c>
      <c r="D112" t="s">
        <v>734</v>
      </c>
      <c r="E112" t="s">
        <v>735</v>
      </c>
      <c r="F112">
        <v>2</v>
      </c>
      <c r="G112">
        <v>2</v>
      </c>
      <c r="H112">
        <v>1</v>
      </c>
      <c r="I112" s="1" t="s">
        <v>736</v>
      </c>
      <c r="J112" s="1" t="s">
        <v>737</v>
      </c>
      <c r="K112" s="1" t="s">
        <v>738</v>
      </c>
    </row>
    <row r="113" spans="1:11" ht="30" x14ac:dyDescent="0.25">
      <c r="A113" t="s">
        <v>739</v>
      </c>
      <c r="B113" t="s">
        <v>20</v>
      </c>
      <c r="C113" t="s">
        <v>740</v>
      </c>
      <c r="D113" t="s">
        <v>741</v>
      </c>
      <c r="E113" t="s">
        <v>742</v>
      </c>
      <c r="F113">
        <v>1</v>
      </c>
      <c r="G113">
        <v>1</v>
      </c>
      <c r="H113">
        <v>0</v>
      </c>
      <c r="I113" s="1" t="s">
        <v>743</v>
      </c>
      <c r="J113" s="1" t="s">
        <v>744</v>
      </c>
    </row>
    <row r="114" spans="1:11" ht="105" x14ac:dyDescent="0.25">
      <c r="A114" t="s">
        <v>745</v>
      </c>
      <c r="B114" t="s">
        <v>20</v>
      </c>
      <c r="C114" t="s">
        <v>746</v>
      </c>
      <c r="D114" t="s">
        <v>747</v>
      </c>
      <c r="E114" t="s">
        <v>748</v>
      </c>
      <c r="F114">
        <v>1</v>
      </c>
      <c r="G114">
        <v>4</v>
      </c>
      <c r="H114">
        <v>1</v>
      </c>
      <c r="I114" s="1" t="s">
        <v>68</v>
      </c>
      <c r="J114" s="1" t="s">
        <v>749</v>
      </c>
      <c r="K114" s="1" t="s">
        <v>750</v>
      </c>
    </row>
    <row r="115" spans="1:11" ht="150" x14ac:dyDescent="0.25">
      <c r="A115" t="s">
        <v>751</v>
      </c>
      <c r="B115" t="s">
        <v>20</v>
      </c>
      <c r="C115" t="s">
        <v>752</v>
      </c>
      <c r="D115" t="s">
        <v>753</v>
      </c>
      <c r="E115" t="s">
        <v>754</v>
      </c>
      <c r="F115">
        <v>4</v>
      </c>
      <c r="G115">
        <v>5</v>
      </c>
      <c r="H115">
        <v>3</v>
      </c>
      <c r="I115" s="1" t="s">
        <v>755</v>
      </c>
      <c r="J115" s="1" t="s">
        <v>756</v>
      </c>
      <c r="K115" s="1" t="s">
        <v>757</v>
      </c>
    </row>
    <row r="116" spans="1:11" ht="75" x14ac:dyDescent="0.25">
      <c r="A116" t="s">
        <v>758</v>
      </c>
      <c r="B116" t="s">
        <v>20</v>
      </c>
      <c r="C116" t="s">
        <v>759</v>
      </c>
      <c r="D116" t="s">
        <v>760</v>
      </c>
      <c r="E116" t="s">
        <v>761</v>
      </c>
      <c r="F116">
        <v>3</v>
      </c>
      <c r="G116">
        <v>3</v>
      </c>
      <c r="H116">
        <v>3</v>
      </c>
      <c r="I116" s="1" t="s">
        <v>762</v>
      </c>
      <c r="J116" s="1" t="s">
        <v>763</v>
      </c>
      <c r="K116" s="1" t="s">
        <v>764</v>
      </c>
    </row>
    <row r="117" spans="1:11" ht="45" x14ac:dyDescent="0.25">
      <c r="A117" t="s">
        <v>765</v>
      </c>
      <c r="B117" t="s">
        <v>20</v>
      </c>
      <c r="C117" t="s">
        <v>766</v>
      </c>
      <c r="D117" t="s">
        <v>256</v>
      </c>
      <c r="E117" t="s">
        <v>244</v>
      </c>
      <c r="F117">
        <v>1</v>
      </c>
      <c r="G117">
        <v>1</v>
      </c>
      <c r="H117">
        <v>0</v>
      </c>
      <c r="I117" s="1" t="s">
        <v>68</v>
      </c>
      <c r="J117" s="1" t="s">
        <v>767</v>
      </c>
    </row>
    <row r="118" spans="1:11" ht="90" x14ac:dyDescent="0.25">
      <c r="A118" t="s">
        <v>768</v>
      </c>
      <c r="B118" t="s">
        <v>20</v>
      </c>
      <c r="C118" t="s">
        <v>769</v>
      </c>
      <c r="D118" t="s">
        <v>770</v>
      </c>
      <c r="E118" t="s">
        <v>771</v>
      </c>
      <c r="F118">
        <v>3</v>
      </c>
      <c r="G118">
        <v>2</v>
      </c>
      <c r="H118">
        <v>2</v>
      </c>
      <c r="I118" s="1" t="s">
        <v>772</v>
      </c>
      <c r="J118" s="1" t="s">
        <v>773</v>
      </c>
      <c r="K118" s="1" t="s">
        <v>774</v>
      </c>
    </row>
    <row r="119" spans="1:11" ht="135" x14ac:dyDescent="0.25">
      <c r="A119" t="s">
        <v>775</v>
      </c>
      <c r="B119" t="s">
        <v>20</v>
      </c>
      <c r="C119" t="s">
        <v>776</v>
      </c>
      <c r="D119" t="s">
        <v>777</v>
      </c>
      <c r="E119" t="s">
        <v>778</v>
      </c>
      <c r="F119">
        <v>3</v>
      </c>
      <c r="G119">
        <v>3</v>
      </c>
      <c r="H119">
        <v>2</v>
      </c>
      <c r="I119" s="1" t="s">
        <v>779</v>
      </c>
      <c r="J119" s="1" t="s">
        <v>780</v>
      </c>
      <c r="K119" s="1" t="s">
        <v>781</v>
      </c>
    </row>
    <row r="120" spans="1:11" ht="45" x14ac:dyDescent="0.25">
      <c r="A120" t="s">
        <v>782</v>
      </c>
      <c r="B120" t="s">
        <v>20</v>
      </c>
      <c r="C120" t="s">
        <v>783</v>
      </c>
      <c r="D120" t="s">
        <v>784</v>
      </c>
      <c r="E120" t="s">
        <v>784</v>
      </c>
      <c r="F120">
        <v>1</v>
      </c>
      <c r="G120">
        <v>1</v>
      </c>
      <c r="H120">
        <v>0</v>
      </c>
      <c r="I120" s="1" t="s">
        <v>592</v>
      </c>
      <c r="J120" s="1" t="s">
        <v>785</v>
      </c>
    </row>
    <row r="121" spans="1:11" ht="225" x14ac:dyDescent="0.25">
      <c r="A121" t="s">
        <v>786</v>
      </c>
      <c r="B121" t="s">
        <v>20</v>
      </c>
      <c r="C121" t="s">
        <v>787</v>
      </c>
      <c r="D121" t="s">
        <v>788</v>
      </c>
      <c r="E121" t="s">
        <v>789</v>
      </c>
      <c r="F121">
        <v>6</v>
      </c>
      <c r="G121">
        <v>6</v>
      </c>
      <c r="H121">
        <v>3</v>
      </c>
      <c r="I121" s="1" t="s">
        <v>790</v>
      </c>
      <c r="J121" s="1" t="s">
        <v>791</v>
      </c>
      <c r="K121" s="1" t="s">
        <v>792</v>
      </c>
    </row>
    <row r="122" spans="1:11" ht="75" x14ac:dyDescent="0.25">
      <c r="A122" t="s">
        <v>793</v>
      </c>
      <c r="B122" t="s">
        <v>20</v>
      </c>
      <c r="C122" t="s">
        <v>794</v>
      </c>
      <c r="D122" t="s">
        <v>795</v>
      </c>
      <c r="E122" t="s">
        <v>796</v>
      </c>
      <c r="F122">
        <v>2</v>
      </c>
      <c r="G122">
        <v>3</v>
      </c>
      <c r="H122">
        <v>1</v>
      </c>
      <c r="I122" s="1" t="s">
        <v>797</v>
      </c>
      <c r="J122" s="1" t="s">
        <v>798</v>
      </c>
      <c r="K122" s="1" t="s">
        <v>799</v>
      </c>
    </row>
    <row r="123" spans="1:11" ht="135" x14ac:dyDescent="0.25">
      <c r="A123" t="s">
        <v>800</v>
      </c>
      <c r="B123" t="s">
        <v>20</v>
      </c>
      <c r="C123" t="s">
        <v>801</v>
      </c>
      <c r="D123" t="s">
        <v>802</v>
      </c>
      <c r="E123" t="s">
        <v>803</v>
      </c>
      <c r="F123">
        <v>3</v>
      </c>
      <c r="G123">
        <v>3</v>
      </c>
      <c r="H123">
        <v>2</v>
      </c>
      <c r="I123" s="1" t="s">
        <v>804</v>
      </c>
      <c r="J123" s="1" t="s">
        <v>805</v>
      </c>
      <c r="K123" s="1" t="s">
        <v>806</v>
      </c>
    </row>
    <row r="124" spans="1:11" ht="105" x14ac:dyDescent="0.25">
      <c r="A124" t="s">
        <v>807</v>
      </c>
      <c r="B124" t="s">
        <v>20</v>
      </c>
      <c r="C124" t="s">
        <v>808</v>
      </c>
      <c r="D124" t="s">
        <v>809</v>
      </c>
      <c r="E124" t="s">
        <v>810</v>
      </c>
      <c r="F124">
        <v>3</v>
      </c>
      <c r="G124">
        <v>3</v>
      </c>
      <c r="H124">
        <v>1</v>
      </c>
      <c r="I124" s="1" t="s">
        <v>811</v>
      </c>
      <c r="J124" s="1" t="s">
        <v>812</v>
      </c>
      <c r="K124" s="1" t="s">
        <v>813</v>
      </c>
    </row>
    <row r="125" spans="1:11" ht="150" x14ac:dyDescent="0.25">
      <c r="A125" t="s">
        <v>814</v>
      </c>
      <c r="B125" t="s">
        <v>20</v>
      </c>
      <c r="D125" t="s">
        <v>815</v>
      </c>
      <c r="E125" t="s">
        <v>334</v>
      </c>
      <c r="F125">
        <v>4</v>
      </c>
      <c r="G125">
        <v>4</v>
      </c>
      <c r="H125">
        <v>3</v>
      </c>
      <c r="I125" s="1" t="s">
        <v>816</v>
      </c>
      <c r="J125" s="1" t="s">
        <v>817</v>
      </c>
      <c r="K125" s="1" t="s">
        <v>818</v>
      </c>
    </row>
    <row r="126" spans="1:11" ht="45" x14ac:dyDescent="0.25">
      <c r="A126" t="s">
        <v>819</v>
      </c>
      <c r="B126" t="s">
        <v>12</v>
      </c>
      <c r="C126" t="s">
        <v>820</v>
      </c>
      <c r="D126" t="s">
        <v>821</v>
      </c>
      <c r="E126" t="s">
        <v>150</v>
      </c>
      <c r="F126">
        <v>1</v>
      </c>
      <c r="G126">
        <v>1</v>
      </c>
      <c r="H126">
        <v>0</v>
      </c>
      <c r="I126" s="1" t="s">
        <v>592</v>
      </c>
      <c r="J126" s="1" t="s">
        <v>822</v>
      </c>
    </row>
    <row r="127" spans="1:11" ht="90" x14ac:dyDescent="0.25">
      <c r="A127" t="s">
        <v>823</v>
      </c>
      <c r="B127" t="s">
        <v>12</v>
      </c>
      <c r="C127" t="s">
        <v>824</v>
      </c>
      <c r="D127" t="s">
        <v>825</v>
      </c>
      <c r="E127" t="s">
        <v>826</v>
      </c>
      <c r="F127">
        <v>2</v>
      </c>
      <c r="G127">
        <v>4</v>
      </c>
      <c r="H127">
        <v>2</v>
      </c>
      <c r="I127" s="1" t="s">
        <v>827</v>
      </c>
      <c r="J127" s="1" t="s">
        <v>828</v>
      </c>
      <c r="K127" s="1" t="s">
        <v>829</v>
      </c>
    </row>
    <row r="128" spans="1:11" ht="150" x14ac:dyDescent="0.25">
      <c r="A128" t="s">
        <v>830</v>
      </c>
      <c r="B128" t="s">
        <v>12</v>
      </c>
      <c r="C128" t="s">
        <v>831</v>
      </c>
      <c r="D128" t="s">
        <v>832</v>
      </c>
      <c r="E128" t="s">
        <v>784</v>
      </c>
      <c r="F128">
        <v>4</v>
      </c>
      <c r="G128">
        <v>4</v>
      </c>
      <c r="H128">
        <v>2</v>
      </c>
      <c r="I128" s="1" t="s">
        <v>833</v>
      </c>
      <c r="J128" s="1" t="s">
        <v>834</v>
      </c>
      <c r="K128" s="1" t="s">
        <v>835</v>
      </c>
    </row>
    <row r="129" spans="1:11" ht="75" x14ac:dyDescent="0.25">
      <c r="A129" t="s">
        <v>836</v>
      </c>
      <c r="B129" t="s">
        <v>12</v>
      </c>
      <c r="C129" t="s">
        <v>837</v>
      </c>
      <c r="D129" t="s">
        <v>838</v>
      </c>
      <c r="E129" t="s">
        <v>839</v>
      </c>
      <c r="F129">
        <v>2</v>
      </c>
      <c r="G129">
        <v>2</v>
      </c>
      <c r="H129">
        <v>1</v>
      </c>
      <c r="I129" s="1" t="s">
        <v>840</v>
      </c>
      <c r="J129" s="1" t="s">
        <v>841</v>
      </c>
      <c r="K129" s="1" t="s">
        <v>842</v>
      </c>
    </row>
    <row r="130" spans="1:11" ht="45" x14ac:dyDescent="0.25">
      <c r="A130" t="s">
        <v>843</v>
      </c>
      <c r="B130" t="s">
        <v>12</v>
      </c>
      <c r="C130" t="s">
        <v>844</v>
      </c>
      <c r="D130" t="s">
        <v>845</v>
      </c>
      <c r="E130" t="s">
        <v>150</v>
      </c>
      <c r="F130">
        <v>1</v>
      </c>
      <c r="G130">
        <v>1</v>
      </c>
      <c r="H130">
        <v>0</v>
      </c>
      <c r="I130" s="1" t="s">
        <v>68</v>
      </c>
      <c r="J130" s="1" t="s">
        <v>846</v>
      </c>
    </row>
    <row r="131" spans="1:11" ht="105" x14ac:dyDescent="0.25">
      <c r="A131" t="s">
        <v>847</v>
      </c>
      <c r="B131" t="s">
        <v>12</v>
      </c>
      <c r="C131" t="s">
        <v>848</v>
      </c>
      <c r="D131" t="s">
        <v>849</v>
      </c>
      <c r="E131" t="s">
        <v>850</v>
      </c>
      <c r="F131">
        <v>3</v>
      </c>
      <c r="G131">
        <v>3</v>
      </c>
      <c r="H131">
        <v>2</v>
      </c>
      <c r="I131" s="1" t="s">
        <v>851</v>
      </c>
      <c r="J131" s="1" t="s">
        <v>852</v>
      </c>
      <c r="K131" s="1" t="s">
        <v>853</v>
      </c>
    </row>
    <row r="132" spans="1:11" ht="60" x14ac:dyDescent="0.25">
      <c r="A132" t="s">
        <v>854</v>
      </c>
      <c r="B132" t="s">
        <v>12</v>
      </c>
      <c r="C132" t="s">
        <v>855</v>
      </c>
      <c r="D132" t="s">
        <v>154</v>
      </c>
      <c r="E132" t="s">
        <v>155</v>
      </c>
      <c r="F132">
        <v>2</v>
      </c>
      <c r="G132">
        <v>3</v>
      </c>
      <c r="H132">
        <v>1</v>
      </c>
      <c r="I132" s="1" t="s">
        <v>856</v>
      </c>
      <c r="J132" s="1" t="s">
        <v>857</v>
      </c>
      <c r="K132" s="1" t="s">
        <v>858</v>
      </c>
    </row>
    <row r="133" spans="1:11" ht="60" x14ac:dyDescent="0.25">
      <c r="A133" t="s">
        <v>859</v>
      </c>
      <c r="B133" t="s">
        <v>12</v>
      </c>
      <c r="C133" t="s">
        <v>860</v>
      </c>
      <c r="D133" t="s">
        <v>861</v>
      </c>
      <c r="E133" t="s">
        <v>862</v>
      </c>
      <c r="F133">
        <v>2</v>
      </c>
      <c r="G133">
        <v>2</v>
      </c>
      <c r="H133">
        <v>1</v>
      </c>
      <c r="I133" s="1" t="s">
        <v>863</v>
      </c>
      <c r="J133" s="1" t="s">
        <v>864</v>
      </c>
      <c r="K133" s="1" t="s">
        <v>865</v>
      </c>
    </row>
    <row r="134" spans="1:11" ht="150" x14ac:dyDescent="0.25">
      <c r="A134" t="s">
        <v>866</v>
      </c>
      <c r="B134" t="s">
        <v>12</v>
      </c>
      <c r="C134" t="s">
        <v>867</v>
      </c>
      <c r="D134" t="s">
        <v>868</v>
      </c>
      <c r="E134" t="s">
        <v>869</v>
      </c>
      <c r="F134">
        <v>4</v>
      </c>
      <c r="G134">
        <v>4</v>
      </c>
      <c r="H134">
        <v>2</v>
      </c>
      <c r="I134" s="1" t="s">
        <v>870</v>
      </c>
      <c r="J134" s="1" t="s">
        <v>871</v>
      </c>
      <c r="K134" s="1" t="s">
        <v>872</v>
      </c>
    </row>
    <row r="135" spans="1:11" ht="45" x14ac:dyDescent="0.25">
      <c r="A135" t="s">
        <v>873</v>
      </c>
      <c r="B135" t="s">
        <v>12</v>
      </c>
      <c r="C135" t="s">
        <v>874</v>
      </c>
      <c r="D135" t="s">
        <v>875</v>
      </c>
      <c r="E135" t="s">
        <v>150</v>
      </c>
      <c r="F135">
        <v>1</v>
      </c>
      <c r="G135">
        <v>1</v>
      </c>
      <c r="H135">
        <v>0</v>
      </c>
      <c r="I135" s="1" t="s">
        <v>68</v>
      </c>
      <c r="J135" s="1" t="s">
        <v>876</v>
      </c>
    </row>
    <row r="136" spans="1:11" ht="45" x14ac:dyDescent="0.25">
      <c r="A136" t="s">
        <v>877</v>
      </c>
      <c r="B136" t="s">
        <v>12</v>
      </c>
      <c r="C136" t="s">
        <v>878</v>
      </c>
      <c r="D136" t="s">
        <v>879</v>
      </c>
      <c r="E136" t="s">
        <v>880</v>
      </c>
      <c r="F136">
        <v>1</v>
      </c>
      <c r="G136">
        <v>1</v>
      </c>
      <c r="H136">
        <v>0</v>
      </c>
      <c r="I136" s="1" t="s">
        <v>592</v>
      </c>
      <c r="J136" s="1" t="s">
        <v>881</v>
      </c>
    </row>
    <row r="137" spans="1:11" ht="120" x14ac:dyDescent="0.25">
      <c r="A137" t="s">
        <v>882</v>
      </c>
      <c r="B137" t="s">
        <v>12</v>
      </c>
      <c r="C137" t="s">
        <v>883</v>
      </c>
      <c r="D137" t="s">
        <v>884</v>
      </c>
      <c r="E137" t="s">
        <v>885</v>
      </c>
      <c r="F137">
        <v>3</v>
      </c>
      <c r="G137">
        <v>3</v>
      </c>
      <c r="H137">
        <v>2</v>
      </c>
      <c r="I137" s="1" t="s">
        <v>886</v>
      </c>
      <c r="J137" s="1" t="s">
        <v>887</v>
      </c>
      <c r="K137" s="1" t="s">
        <v>888</v>
      </c>
    </row>
    <row r="138" spans="1:11" ht="180" x14ac:dyDescent="0.25">
      <c r="A138" t="s">
        <v>889</v>
      </c>
      <c r="B138" t="s">
        <v>12</v>
      </c>
      <c r="C138" t="s">
        <v>890</v>
      </c>
      <c r="D138" t="s">
        <v>891</v>
      </c>
      <c r="E138" t="s">
        <v>892</v>
      </c>
      <c r="F138">
        <v>5</v>
      </c>
      <c r="G138">
        <v>7</v>
      </c>
      <c r="H138">
        <v>4</v>
      </c>
      <c r="I138" s="1" t="s">
        <v>893</v>
      </c>
      <c r="J138" s="1" t="s">
        <v>894</v>
      </c>
      <c r="K138" s="1" t="s">
        <v>895</v>
      </c>
    </row>
    <row r="139" spans="1:11" ht="90" x14ac:dyDescent="0.25">
      <c r="A139" t="s">
        <v>896</v>
      </c>
      <c r="B139" t="s">
        <v>12</v>
      </c>
      <c r="C139" t="s">
        <v>897</v>
      </c>
      <c r="D139" t="s">
        <v>898</v>
      </c>
      <c r="E139" t="s">
        <v>610</v>
      </c>
      <c r="F139">
        <v>2</v>
      </c>
      <c r="G139">
        <v>2</v>
      </c>
      <c r="H139">
        <v>1</v>
      </c>
      <c r="I139" s="1" t="s">
        <v>597</v>
      </c>
      <c r="J139" s="1" t="s">
        <v>899</v>
      </c>
      <c r="K139" s="1" t="s">
        <v>900</v>
      </c>
    </row>
    <row r="140" spans="1:11" ht="45" x14ac:dyDescent="0.25">
      <c r="A140" t="s">
        <v>901</v>
      </c>
      <c r="B140" t="s">
        <v>12</v>
      </c>
      <c r="C140" t="s">
        <v>902</v>
      </c>
      <c r="D140" t="s">
        <v>591</v>
      </c>
      <c r="E140" t="s">
        <v>150</v>
      </c>
      <c r="F140">
        <v>1</v>
      </c>
      <c r="G140">
        <v>2</v>
      </c>
      <c r="H140">
        <v>0</v>
      </c>
      <c r="I140" s="1" t="s">
        <v>592</v>
      </c>
      <c r="J140" s="1" t="s">
        <v>903</v>
      </c>
    </row>
    <row r="141" spans="1:11" ht="135" x14ac:dyDescent="0.25">
      <c r="A141" t="s">
        <v>904</v>
      </c>
      <c r="B141" t="s">
        <v>12</v>
      </c>
      <c r="C141" t="s">
        <v>905</v>
      </c>
      <c r="D141" t="s">
        <v>906</v>
      </c>
      <c r="E141" t="s">
        <v>907</v>
      </c>
      <c r="F141">
        <v>4</v>
      </c>
      <c r="G141">
        <v>4</v>
      </c>
      <c r="H141">
        <v>3</v>
      </c>
      <c r="I141" s="1" t="s">
        <v>908</v>
      </c>
      <c r="J141" s="1" t="s">
        <v>909</v>
      </c>
      <c r="K141" s="1" t="s">
        <v>910</v>
      </c>
    </row>
    <row r="142" spans="1:11" ht="105" x14ac:dyDescent="0.25">
      <c r="A142" t="s">
        <v>911</v>
      </c>
      <c r="B142" t="s">
        <v>12</v>
      </c>
      <c r="C142" t="s">
        <v>912</v>
      </c>
      <c r="D142" t="s">
        <v>913</v>
      </c>
      <c r="E142" t="s">
        <v>914</v>
      </c>
      <c r="F142">
        <v>3</v>
      </c>
      <c r="G142">
        <v>4</v>
      </c>
      <c r="H142">
        <v>2</v>
      </c>
      <c r="I142" s="1" t="s">
        <v>915</v>
      </c>
      <c r="J142" s="1" t="s">
        <v>916</v>
      </c>
      <c r="K142" s="1" t="s">
        <v>917</v>
      </c>
    </row>
    <row r="143" spans="1:11" ht="90" x14ac:dyDescent="0.25">
      <c r="A143" t="s">
        <v>918</v>
      </c>
      <c r="B143" t="s">
        <v>12</v>
      </c>
      <c r="C143" t="s">
        <v>919</v>
      </c>
      <c r="D143" t="s">
        <v>920</v>
      </c>
      <c r="E143" t="s">
        <v>520</v>
      </c>
      <c r="F143">
        <v>3</v>
      </c>
      <c r="G143">
        <v>3</v>
      </c>
      <c r="H143">
        <v>2</v>
      </c>
      <c r="I143" s="1" t="s">
        <v>921</v>
      </c>
      <c r="J143" s="1" t="s">
        <v>922</v>
      </c>
      <c r="K143" s="1" t="s">
        <v>923</v>
      </c>
    </row>
    <row r="144" spans="1:11" ht="45" x14ac:dyDescent="0.25">
      <c r="A144" t="s">
        <v>924</v>
      </c>
      <c r="B144" t="s">
        <v>12</v>
      </c>
      <c r="C144" t="s">
        <v>925</v>
      </c>
      <c r="D144" t="s">
        <v>926</v>
      </c>
      <c r="E144" t="s">
        <v>880</v>
      </c>
      <c r="F144">
        <v>1</v>
      </c>
      <c r="G144">
        <v>1</v>
      </c>
      <c r="H144">
        <v>0</v>
      </c>
      <c r="I144" s="1" t="s">
        <v>68</v>
      </c>
      <c r="J144" s="1" t="s">
        <v>927</v>
      </c>
    </row>
    <row r="145" spans="1:11" ht="75" x14ac:dyDescent="0.25">
      <c r="A145" t="s">
        <v>928</v>
      </c>
      <c r="B145" t="s">
        <v>12</v>
      </c>
      <c r="C145" t="s">
        <v>929</v>
      </c>
      <c r="D145" t="s">
        <v>930</v>
      </c>
      <c r="E145" t="s">
        <v>931</v>
      </c>
      <c r="F145">
        <v>2</v>
      </c>
      <c r="G145">
        <v>2</v>
      </c>
      <c r="H145">
        <v>1</v>
      </c>
      <c r="I145" s="1" t="s">
        <v>932</v>
      </c>
      <c r="J145" s="1" t="s">
        <v>933</v>
      </c>
      <c r="K145" s="1" t="s">
        <v>934</v>
      </c>
    </row>
    <row r="146" spans="1:11" ht="45" x14ac:dyDescent="0.25">
      <c r="A146" t="s">
        <v>935</v>
      </c>
      <c r="B146" t="s">
        <v>12</v>
      </c>
      <c r="C146" t="s">
        <v>936</v>
      </c>
      <c r="D146" t="s">
        <v>329</v>
      </c>
      <c r="E146" t="s">
        <v>150</v>
      </c>
      <c r="F146">
        <v>1</v>
      </c>
      <c r="G146">
        <v>1</v>
      </c>
      <c r="H146">
        <v>0</v>
      </c>
      <c r="I146" s="1" t="s">
        <v>68</v>
      </c>
      <c r="J146" s="1" t="s">
        <v>937</v>
      </c>
    </row>
    <row r="147" spans="1:11" ht="120" x14ac:dyDescent="0.25">
      <c r="A147" t="s">
        <v>938</v>
      </c>
      <c r="B147" t="s">
        <v>12</v>
      </c>
      <c r="C147" t="s">
        <v>939</v>
      </c>
      <c r="D147" t="s">
        <v>940</v>
      </c>
      <c r="E147" t="s">
        <v>941</v>
      </c>
      <c r="F147">
        <v>3</v>
      </c>
      <c r="G147">
        <v>3</v>
      </c>
      <c r="H147">
        <v>2</v>
      </c>
      <c r="I147" s="1" t="s">
        <v>942</v>
      </c>
      <c r="J147" s="1" t="s">
        <v>943</v>
      </c>
      <c r="K147" s="1" t="s">
        <v>944</v>
      </c>
    </row>
    <row r="148" spans="1:11" ht="75" x14ac:dyDescent="0.25">
      <c r="A148" t="s">
        <v>945</v>
      </c>
      <c r="B148" t="s">
        <v>12</v>
      </c>
      <c r="C148" t="s">
        <v>946</v>
      </c>
      <c r="D148" t="s">
        <v>947</v>
      </c>
      <c r="E148" t="s">
        <v>947</v>
      </c>
      <c r="F148">
        <v>2</v>
      </c>
      <c r="G148">
        <v>2</v>
      </c>
      <c r="H148">
        <v>1</v>
      </c>
      <c r="I148" s="1" t="s">
        <v>948</v>
      </c>
      <c r="J148" s="1" t="s">
        <v>949</v>
      </c>
      <c r="K148" s="1" t="s">
        <v>950</v>
      </c>
    </row>
    <row r="149" spans="1:11" ht="45" x14ac:dyDescent="0.25">
      <c r="A149" t="s">
        <v>951</v>
      </c>
      <c r="B149" t="s">
        <v>12</v>
      </c>
      <c r="C149" t="s">
        <v>952</v>
      </c>
      <c r="D149" t="s">
        <v>953</v>
      </c>
      <c r="E149" t="s">
        <v>698</v>
      </c>
      <c r="F149">
        <v>1</v>
      </c>
      <c r="G149">
        <v>1</v>
      </c>
      <c r="H149">
        <v>0</v>
      </c>
      <c r="I149" s="1" t="s">
        <v>68</v>
      </c>
      <c r="J149" s="1" t="s">
        <v>954</v>
      </c>
    </row>
    <row r="150" spans="1:11" ht="60" x14ac:dyDescent="0.25">
      <c r="A150" t="s">
        <v>955</v>
      </c>
      <c r="B150" t="s">
        <v>12</v>
      </c>
      <c r="C150" t="s">
        <v>956</v>
      </c>
      <c r="D150" t="s">
        <v>957</v>
      </c>
      <c r="E150" t="s">
        <v>958</v>
      </c>
      <c r="F150">
        <v>2</v>
      </c>
      <c r="G150">
        <v>2</v>
      </c>
      <c r="H150">
        <v>1</v>
      </c>
      <c r="I150" s="1" t="s">
        <v>959</v>
      </c>
      <c r="J150" s="1" t="s">
        <v>960</v>
      </c>
      <c r="K150" s="1" t="s">
        <v>961</v>
      </c>
    </row>
    <row r="151" spans="1:11" ht="90" x14ac:dyDescent="0.25">
      <c r="A151" t="s">
        <v>962</v>
      </c>
      <c r="B151" t="s">
        <v>12</v>
      </c>
      <c r="C151" t="s">
        <v>963</v>
      </c>
      <c r="D151" t="s">
        <v>964</v>
      </c>
      <c r="E151" t="s">
        <v>965</v>
      </c>
      <c r="F151">
        <v>3</v>
      </c>
      <c r="G151">
        <v>4</v>
      </c>
      <c r="H151">
        <v>2</v>
      </c>
      <c r="I151" s="1" t="s">
        <v>966</v>
      </c>
      <c r="J151" s="1" t="s">
        <v>967</v>
      </c>
      <c r="K151" s="1" t="s">
        <v>968</v>
      </c>
    </row>
    <row r="152" spans="1:11" ht="45" x14ac:dyDescent="0.25">
      <c r="A152" t="s">
        <v>969</v>
      </c>
      <c r="B152" t="s">
        <v>12</v>
      </c>
      <c r="C152" t="s">
        <v>970</v>
      </c>
      <c r="D152" t="s">
        <v>591</v>
      </c>
      <c r="E152" t="s">
        <v>150</v>
      </c>
      <c r="F152">
        <v>1</v>
      </c>
      <c r="G152">
        <v>1</v>
      </c>
      <c r="H152">
        <v>0</v>
      </c>
      <c r="I152" s="1" t="s">
        <v>68</v>
      </c>
      <c r="J152" s="1" t="s">
        <v>971</v>
      </c>
    </row>
    <row r="153" spans="1:11" ht="45" x14ac:dyDescent="0.25">
      <c r="A153" t="s">
        <v>972</v>
      </c>
      <c r="B153" t="s">
        <v>12</v>
      </c>
      <c r="C153" t="s">
        <v>973</v>
      </c>
      <c r="D153" t="s">
        <v>974</v>
      </c>
      <c r="E153" t="s">
        <v>698</v>
      </c>
      <c r="F153">
        <v>1</v>
      </c>
      <c r="G153">
        <v>1</v>
      </c>
      <c r="H153">
        <v>0</v>
      </c>
      <c r="I153" s="1" t="s">
        <v>68</v>
      </c>
      <c r="J153" s="1" t="s">
        <v>975</v>
      </c>
    </row>
    <row r="154" spans="1:11" ht="135" x14ac:dyDescent="0.25">
      <c r="A154" t="s">
        <v>976</v>
      </c>
      <c r="B154" t="s">
        <v>12</v>
      </c>
      <c r="C154" t="s">
        <v>977</v>
      </c>
      <c r="D154" t="s">
        <v>978</v>
      </c>
      <c r="E154" t="s">
        <v>979</v>
      </c>
      <c r="F154">
        <v>3</v>
      </c>
      <c r="G154">
        <v>2</v>
      </c>
      <c r="H154">
        <v>2</v>
      </c>
      <c r="I154" s="1" t="s">
        <v>24</v>
      </c>
      <c r="J154" s="1" t="s">
        <v>980</v>
      </c>
      <c r="K154" s="1" t="s">
        <v>981</v>
      </c>
    </row>
    <row r="155" spans="1:11" ht="30" x14ac:dyDescent="0.25">
      <c r="A155" t="s">
        <v>982</v>
      </c>
      <c r="B155" t="s">
        <v>12</v>
      </c>
      <c r="C155" t="s">
        <v>983</v>
      </c>
      <c r="D155" t="s">
        <v>984</v>
      </c>
      <c r="E155" t="s">
        <v>984</v>
      </c>
      <c r="F155">
        <v>1</v>
      </c>
      <c r="G155">
        <v>1</v>
      </c>
      <c r="H155">
        <v>0</v>
      </c>
      <c r="I155" s="1" t="s">
        <v>985</v>
      </c>
      <c r="J155" s="1" t="s">
        <v>986</v>
      </c>
    </row>
    <row r="156" spans="1:11" ht="255" x14ac:dyDescent="0.25">
      <c r="A156" t="s">
        <v>987</v>
      </c>
      <c r="B156" t="s">
        <v>12</v>
      </c>
      <c r="C156" t="s">
        <v>988</v>
      </c>
      <c r="D156" t="s">
        <v>989</v>
      </c>
      <c r="E156" t="s">
        <v>990</v>
      </c>
      <c r="F156">
        <v>5</v>
      </c>
      <c r="G156">
        <v>12</v>
      </c>
      <c r="H156">
        <v>4</v>
      </c>
      <c r="I156" s="1" t="s">
        <v>991</v>
      </c>
      <c r="J156" s="1" t="s">
        <v>992</v>
      </c>
      <c r="K156" s="1" t="s">
        <v>993</v>
      </c>
    </row>
    <row r="157" spans="1:11" ht="75" x14ac:dyDescent="0.25">
      <c r="A157" t="s">
        <v>994</v>
      </c>
      <c r="B157" t="s">
        <v>12</v>
      </c>
      <c r="C157" t="s">
        <v>995</v>
      </c>
      <c r="D157" t="s">
        <v>747</v>
      </c>
      <c r="E157" t="s">
        <v>748</v>
      </c>
      <c r="F157">
        <v>2</v>
      </c>
      <c r="G157">
        <v>2</v>
      </c>
      <c r="H157">
        <v>1</v>
      </c>
      <c r="I157" s="1" t="s">
        <v>996</v>
      </c>
      <c r="J157" s="1" t="s">
        <v>997</v>
      </c>
      <c r="K157" s="1" t="s">
        <v>998</v>
      </c>
    </row>
    <row r="158" spans="1:11" ht="60" x14ac:dyDescent="0.25">
      <c r="A158" t="s">
        <v>999</v>
      </c>
      <c r="B158" t="s">
        <v>12</v>
      </c>
      <c r="C158" t="s">
        <v>1000</v>
      </c>
      <c r="D158" t="s">
        <v>1001</v>
      </c>
      <c r="E158" t="s">
        <v>1002</v>
      </c>
      <c r="F158">
        <v>2</v>
      </c>
      <c r="G158">
        <v>2</v>
      </c>
      <c r="H158">
        <v>1</v>
      </c>
      <c r="I158" s="1" t="s">
        <v>1003</v>
      </c>
      <c r="J158" s="1" t="s">
        <v>1004</v>
      </c>
      <c r="K158" s="1" t="s">
        <v>1005</v>
      </c>
    </row>
    <row r="159" spans="1:11" ht="30" x14ac:dyDescent="0.25">
      <c r="A159" t="s">
        <v>1006</v>
      </c>
      <c r="B159" t="s">
        <v>12</v>
      </c>
      <c r="C159" t="s">
        <v>1007</v>
      </c>
      <c r="D159" t="s">
        <v>1008</v>
      </c>
      <c r="E159" t="s">
        <v>1009</v>
      </c>
      <c r="F159">
        <v>1</v>
      </c>
      <c r="G159">
        <v>1</v>
      </c>
      <c r="H159">
        <v>0</v>
      </c>
      <c r="I159" s="1" t="s">
        <v>1010</v>
      </c>
      <c r="J159" s="1" t="s">
        <v>1011</v>
      </c>
    </row>
    <row r="160" spans="1:11" ht="45" x14ac:dyDescent="0.25">
      <c r="A160" t="s">
        <v>1012</v>
      </c>
      <c r="B160" t="s">
        <v>12</v>
      </c>
      <c r="C160" t="s">
        <v>1013</v>
      </c>
      <c r="D160" t="s">
        <v>497</v>
      </c>
      <c r="E160" t="s">
        <v>150</v>
      </c>
      <c r="F160">
        <v>1</v>
      </c>
      <c r="G160">
        <v>1</v>
      </c>
      <c r="H160">
        <v>0</v>
      </c>
      <c r="I160" s="1" t="s">
        <v>68</v>
      </c>
      <c r="J160" s="1" t="s">
        <v>1014</v>
      </c>
    </row>
    <row r="161" spans="1:11" ht="105" x14ac:dyDescent="0.25">
      <c r="A161" t="s">
        <v>1015</v>
      </c>
      <c r="B161" t="s">
        <v>12</v>
      </c>
      <c r="C161" t="s">
        <v>1016</v>
      </c>
      <c r="D161" t="s">
        <v>1017</v>
      </c>
      <c r="E161" t="s">
        <v>1018</v>
      </c>
      <c r="F161">
        <v>3</v>
      </c>
      <c r="G161">
        <v>3</v>
      </c>
      <c r="H161">
        <v>2</v>
      </c>
      <c r="I161" s="1" t="s">
        <v>1019</v>
      </c>
      <c r="J161" s="1" t="s">
        <v>1020</v>
      </c>
      <c r="K161" s="1" t="s">
        <v>1021</v>
      </c>
    </row>
    <row r="162" spans="1:11" ht="120" x14ac:dyDescent="0.25">
      <c r="A162" t="s">
        <v>1022</v>
      </c>
      <c r="B162" t="s">
        <v>12</v>
      </c>
      <c r="C162" t="s">
        <v>1023</v>
      </c>
      <c r="D162" t="s">
        <v>1024</v>
      </c>
      <c r="E162" t="s">
        <v>1025</v>
      </c>
      <c r="F162">
        <v>4</v>
      </c>
      <c r="G162">
        <v>4</v>
      </c>
      <c r="H162">
        <v>3</v>
      </c>
      <c r="I162" s="1" t="s">
        <v>1026</v>
      </c>
      <c r="J162" s="1" t="s">
        <v>1027</v>
      </c>
      <c r="K162" s="1" t="s">
        <v>1028</v>
      </c>
    </row>
    <row r="163" spans="1:11" ht="60" x14ac:dyDescent="0.25">
      <c r="A163" t="s">
        <v>1029</v>
      </c>
      <c r="B163" t="s">
        <v>12</v>
      </c>
      <c r="C163" t="s">
        <v>1030</v>
      </c>
      <c r="D163" t="s">
        <v>1031</v>
      </c>
      <c r="E163" t="s">
        <v>1032</v>
      </c>
      <c r="F163">
        <v>2</v>
      </c>
      <c r="G163">
        <v>2</v>
      </c>
      <c r="H163">
        <v>1</v>
      </c>
      <c r="I163" s="1" t="s">
        <v>1033</v>
      </c>
      <c r="J163" s="1" t="s">
        <v>1034</v>
      </c>
      <c r="K163" s="1" t="s">
        <v>1035</v>
      </c>
    </row>
    <row r="164" spans="1:11" ht="75" x14ac:dyDescent="0.25">
      <c r="A164" t="s">
        <v>1036</v>
      </c>
      <c r="B164" t="s">
        <v>12</v>
      </c>
      <c r="C164" t="s">
        <v>1037</v>
      </c>
      <c r="D164" t="s">
        <v>1038</v>
      </c>
      <c r="E164" t="s">
        <v>1032</v>
      </c>
      <c r="F164">
        <v>2</v>
      </c>
      <c r="G164">
        <v>2</v>
      </c>
      <c r="H164">
        <v>1</v>
      </c>
      <c r="I164" s="1" t="s">
        <v>1039</v>
      </c>
      <c r="J164" s="1" t="s">
        <v>1040</v>
      </c>
      <c r="K164" s="1" t="s">
        <v>1041</v>
      </c>
    </row>
    <row r="165" spans="1:11" ht="60" x14ac:dyDescent="0.25">
      <c r="A165" t="s">
        <v>1042</v>
      </c>
      <c r="B165" t="s">
        <v>12</v>
      </c>
      <c r="C165" t="s">
        <v>1043</v>
      </c>
      <c r="D165" t="s">
        <v>1044</v>
      </c>
      <c r="E165" t="s">
        <v>1045</v>
      </c>
      <c r="F165">
        <v>2</v>
      </c>
      <c r="G165">
        <v>2</v>
      </c>
      <c r="H165">
        <v>1</v>
      </c>
      <c r="I165" s="1" t="s">
        <v>1046</v>
      </c>
      <c r="J165" s="1" t="s">
        <v>1047</v>
      </c>
      <c r="K165" s="1" t="s">
        <v>1048</v>
      </c>
    </row>
    <row r="166" spans="1:11" ht="90" x14ac:dyDescent="0.25">
      <c r="A166" t="s">
        <v>1049</v>
      </c>
      <c r="B166" t="s">
        <v>12</v>
      </c>
      <c r="C166" t="s">
        <v>1050</v>
      </c>
      <c r="D166" t="s">
        <v>1051</v>
      </c>
      <c r="E166" t="s">
        <v>1052</v>
      </c>
      <c r="F166">
        <v>3</v>
      </c>
      <c r="G166">
        <v>5</v>
      </c>
      <c r="H166">
        <v>2</v>
      </c>
      <c r="I166" s="1" t="s">
        <v>1053</v>
      </c>
      <c r="J166" s="1" t="s">
        <v>1054</v>
      </c>
      <c r="K166" s="1" t="s">
        <v>1055</v>
      </c>
    </row>
    <row r="167" spans="1:11" ht="105" x14ac:dyDescent="0.25">
      <c r="A167" t="s">
        <v>1056</v>
      </c>
      <c r="B167" t="s">
        <v>12</v>
      </c>
      <c r="D167" t="s">
        <v>1057</v>
      </c>
      <c r="E167" t="s">
        <v>553</v>
      </c>
      <c r="F167">
        <v>3</v>
      </c>
      <c r="G167">
        <v>3</v>
      </c>
      <c r="H167">
        <v>2</v>
      </c>
      <c r="I167" s="1" t="s">
        <v>1058</v>
      </c>
      <c r="J167" s="1" t="s">
        <v>1059</v>
      </c>
      <c r="K167" s="1" t="s">
        <v>1060</v>
      </c>
    </row>
    <row r="168" spans="1:11" ht="60" x14ac:dyDescent="0.25">
      <c r="A168" t="s">
        <v>1061</v>
      </c>
      <c r="B168" t="s">
        <v>12</v>
      </c>
      <c r="D168" t="s">
        <v>926</v>
      </c>
      <c r="E168" t="s">
        <v>880</v>
      </c>
      <c r="F168">
        <v>2</v>
      </c>
      <c r="G168">
        <v>1</v>
      </c>
      <c r="H168">
        <v>1</v>
      </c>
      <c r="I168" s="1" t="s">
        <v>1062</v>
      </c>
      <c r="J168" s="1" t="s">
        <v>1063</v>
      </c>
      <c r="K168" s="1" t="s">
        <v>1064</v>
      </c>
    </row>
    <row r="169" spans="1:11" ht="90" x14ac:dyDescent="0.25">
      <c r="A169" t="s">
        <v>1065</v>
      </c>
      <c r="B169" t="s">
        <v>93</v>
      </c>
      <c r="C169" t="s">
        <v>1066</v>
      </c>
      <c r="D169" t="s">
        <v>1067</v>
      </c>
      <c r="E169" t="s">
        <v>1068</v>
      </c>
      <c r="F169">
        <v>2</v>
      </c>
      <c r="G169">
        <v>3</v>
      </c>
      <c r="H169">
        <v>1</v>
      </c>
      <c r="I169" s="1" t="s">
        <v>1069</v>
      </c>
      <c r="J169" s="1" t="s">
        <v>1070</v>
      </c>
      <c r="K169" s="1" t="s">
        <v>1071</v>
      </c>
    </row>
    <row r="170" spans="1:11" ht="120" x14ac:dyDescent="0.25">
      <c r="A170" t="s">
        <v>1072</v>
      </c>
      <c r="B170" t="s">
        <v>93</v>
      </c>
      <c r="C170" t="s">
        <v>1073</v>
      </c>
      <c r="D170" t="s">
        <v>1074</v>
      </c>
      <c r="E170" t="s">
        <v>1075</v>
      </c>
      <c r="F170">
        <v>3</v>
      </c>
      <c r="G170">
        <v>3</v>
      </c>
      <c r="H170">
        <v>3</v>
      </c>
      <c r="I170" s="1" t="s">
        <v>1076</v>
      </c>
      <c r="J170" s="1" t="s">
        <v>1077</v>
      </c>
      <c r="K170" s="1" t="s">
        <v>1078</v>
      </c>
    </row>
    <row r="171" spans="1:11" ht="60" x14ac:dyDescent="0.25">
      <c r="A171" t="s">
        <v>1079</v>
      </c>
      <c r="B171" t="s">
        <v>93</v>
      </c>
      <c r="C171" t="s">
        <v>1080</v>
      </c>
      <c r="D171" t="s">
        <v>1081</v>
      </c>
      <c r="E171" t="s">
        <v>617</v>
      </c>
      <c r="F171">
        <v>2</v>
      </c>
      <c r="G171">
        <v>2</v>
      </c>
      <c r="H171">
        <v>1</v>
      </c>
      <c r="I171" s="1" t="s">
        <v>1082</v>
      </c>
      <c r="J171" s="1" t="s">
        <v>1083</v>
      </c>
      <c r="K171" s="1" t="s">
        <v>1084</v>
      </c>
    </row>
    <row r="172" spans="1:11" ht="45" x14ac:dyDescent="0.25">
      <c r="A172" t="s">
        <v>1085</v>
      </c>
      <c r="B172" t="s">
        <v>93</v>
      </c>
      <c r="C172" t="s">
        <v>1086</v>
      </c>
      <c r="D172" t="s">
        <v>1087</v>
      </c>
      <c r="E172" t="s">
        <v>95</v>
      </c>
      <c r="F172">
        <v>1</v>
      </c>
      <c r="G172">
        <v>1</v>
      </c>
      <c r="H172">
        <v>0</v>
      </c>
      <c r="I172" s="1" t="s">
        <v>68</v>
      </c>
      <c r="J172" s="1" t="s">
        <v>1088</v>
      </c>
    </row>
    <row r="173" spans="1:11" ht="135" x14ac:dyDescent="0.25">
      <c r="A173" t="s">
        <v>1089</v>
      </c>
      <c r="B173" t="s">
        <v>93</v>
      </c>
      <c r="C173" t="s">
        <v>1090</v>
      </c>
      <c r="D173" t="s">
        <v>1091</v>
      </c>
      <c r="E173" t="s">
        <v>1092</v>
      </c>
      <c r="F173">
        <v>4</v>
      </c>
      <c r="G173">
        <v>5</v>
      </c>
      <c r="H173">
        <v>3</v>
      </c>
      <c r="I173" s="1" t="s">
        <v>1093</v>
      </c>
      <c r="J173" s="1" t="s">
        <v>1094</v>
      </c>
      <c r="K173" s="1" t="s">
        <v>1095</v>
      </c>
    </row>
    <row r="174" spans="1:11" ht="150" x14ac:dyDescent="0.25">
      <c r="A174" t="s">
        <v>1096</v>
      </c>
      <c r="B174" t="s">
        <v>93</v>
      </c>
      <c r="C174" t="s">
        <v>1097</v>
      </c>
      <c r="D174" t="s">
        <v>1098</v>
      </c>
      <c r="E174" t="s">
        <v>826</v>
      </c>
      <c r="F174">
        <v>4</v>
      </c>
      <c r="G174">
        <v>4</v>
      </c>
      <c r="H174">
        <v>2</v>
      </c>
      <c r="I174" s="1" t="s">
        <v>1099</v>
      </c>
      <c r="J174" s="1" t="s">
        <v>1100</v>
      </c>
      <c r="K174" s="1" t="s">
        <v>1101</v>
      </c>
    </row>
    <row r="175" spans="1:11" ht="105" x14ac:dyDescent="0.25">
      <c r="A175" t="s">
        <v>1102</v>
      </c>
      <c r="B175" t="s">
        <v>93</v>
      </c>
      <c r="C175" t="s">
        <v>1103</v>
      </c>
      <c r="D175" t="s">
        <v>1104</v>
      </c>
      <c r="E175" t="s">
        <v>1105</v>
      </c>
      <c r="F175">
        <v>3</v>
      </c>
      <c r="G175">
        <v>3</v>
      </c>
      <c r="H175">
        <v>2</v>
      </c>
      <c r="I175" s="1" t="s">
        <v>1106</v>
      </c>
      <c r="J175" s="1" t="s">
        <v>1107</v>
      </c>
      <c r="K175" s="1" t="s">
        <v>1108</v>
      </c>
    </row>
    <row r="176" spans="1:11" ht="90" x14ac:dyDescent="0.25">
      <c r="A176" t="s">
        <v>1109</v>
      </c>
      <c r="B176" t="s">
        <v>93</v>
      </c>
      <c r="C176" t="s">
        <v>1110</v>
      </c>
      <c r="D176" t="s">
        <v>1111</v>
      </c>
      <c r="E176" t="s">
        <v>617</v>
      </c>
      <c r="F176">
        <v>3</v>
      </c>
      <c r="G176">
        <v>3</v>
      </c>
      <c r="H176">
        <v>2</v>
      </c>
      <c r="I176" s="1" t="s">
        <v>1112</v>
      </c>
      <c r="J176" s="1" t="s">
        <v>1113</v>
      </c>
      <c r="K176" s="1" t="s">
        <v>1114</v>
      </c>
    </row>
    <row r="177" spans="1:11" ht="75" x14ac:dyDescent="0.25">
      <c r="A177" t="s">
        <v>1115</v>
      </c>
      <c r="B177" t="s">
        <v>93</v>
      </c>
      <c r="C177" t="s">
        <v>1116</v>
      </c>
      <c r="D177" t="s">
        <v>1117</v>
      </c>
      <c r="E177" t="s">
        <v>1118</v>
      </c>
      <c r="F177">
        <v>2</v>
      </c>
      <c r="G177">
        <v>2</v>
      </c>
      <c r="H177">
        <v>1</v>
      </c>
      <c r="I177" s="1" t="s">
        <v>797</v>
      </c>
      <c r="J177" s="1" t="s">
        <v>1119</v>
      </c>
      <c r="K177" s="1" t="s">
        <v>1120</v>
      </c>
    </row>
    <row r="178" spans="1:11" ht="75" x14ac:dyDescent="0.25">
      <c r="A178" t="s">
        <v>1121</v>
      </c>
      <c r="B178" t="s">
        <v>93</v>
      </c>
      <c r="C178" t="s">
        <v>1122</v>
      </c>
      <c r="D178" t="s">
        <v>1123</v>
      </c>
      <c r="E178" t="s">
        <v>15</v>
      </c>
      <c r="F178">
        <v>2</v>
      </c>
      <c r="G178">
        <v>2</v>
      </c>
      <c r="H178">
        <v>2</v>
      </c>
      <c r="I178" s="1" t="s">
        <v>1124</v>
      </c>
      <c r="J178" s="1" t="s">
        <v>1125</v>
      </c>
      <c r="K178" s="1" t="s">
        <v>1126</v>
      </c>
    </row>
    <row r="179" spans="1:11" ht="135" x14ac:dyDescent="0.25">
      <c r="A179" t="s">
        <v>1127</v>
      </c>
      <c r="B179" t="s">
        <v>93</v>
      </c>
      <c r="C179" t="s">
        <v>1128</v>
      </c>
      <c r="D179" t="s">
        <v>1129</v>
      </c>
      <c r="E179" t="s">
        <v>1130</v>
      </c>
      <c r="F179">
        <v>4</v>
      </c>
      <c r="G179">
        <v>5</v>
      </c>
      <c r="H179">
        <v>3</v>
      </c>
      <c r="I179" s="1" t="s">
        <v>1131</v>
      </c>
      <c r="J179" s="1" t="s">
        <v>1132</v>
      </c>
      <c r="K179" s="1" t="s">
        <v>1133</v>
      </c>
    </row>
    <row r="180" spans="1:11" ht="75" x14ac:dyDescent="0.25">
      <c r="A180" t="s">
        <v>1134</v>
      </c>
      <c r="B180" t="s">
        <v>93</v>
      </c>
      <c r="C180" t="s">
        <v>1135</v>
      </c>
      <c r="D180" t="s">
        <v>1136</v>
      </c>
      <c r="E180" t="s">
        <v>1137</v>
      </c>
      <c r="F180">
        <v>2</v>
      </c>
      <c r="G180">
        <v>3</v>
      </c>
      <c r="H180">
        <v>1</v>
      </c>
      <c r="I180" s="1" t="s">
        <v>797</v>
      </c>
      <c r="J180" s="1" t="s">
        <v>1138</v>
      </c>
      <c r="K180" s="1" t="s">
        <v>1139</v>
      </c>
    </row>
    <row r="181" spans="1:11" ht="105" x14ac:dyDescent="0.25">
      <c r="A181" t="s">
        <v>1140</v>
      </c>
      <c r="B181" t="s">
        <v>93</v>
      </c>
      <c r="C181" t="s">
        <v>1141</v>
      </c>
      <c r="D181" t="s">
        <v>1142</v>
      </c>
      <c r="E181" t="s">
        <v>1143</v>
      </c>
      <c r="F181">
        <v>3</v>
      </c>
      <c r="G181">
        <v>3</v>
      </c>
      <c r="H181">
        <v>2</v>
      </c>
      <c r="I181" s="1" t="s">
        <v>1144</v>
      </c>
      <c r="J181" s="1" t="s">
        <v>1145</v>
      </c>
      <c r="K181" s="1" t="s">
        <v>1146</v>
      </c>
    </row>
    <row r="182" spans="1:11" ht="120" x14ac:dyDescent="0.25">
      <c r="A182" t="s">
        <v>1147</v>
      </c>
      <c r="B182" t="s">
        <v>93</v>
      </c>
      <c r="C182" t="s">
        <v>1148</v>
      </c>
      <c r="D182" t="s">
        <v>1149</v>
      </c>
      <c r="E182" t="s">
        <v>839</v>
      </c>
      <c r="F182">
        <v>3</v>
      </c>
      <c r="G182">
        <v>4</v>
      </c>
      <c r="H182">
        <v>3</v>
      </c>
      <c r="I182" s="1" t="s">
        <v>1150</v>
      </c>
      <c r="J182" s="1" t="s">
        <v>1151</v>
      </c>
      <c r="K182" s="1" t="s">
        <v>1152</v>
      </c>
    </row>
    <row r="183" spans="1:11" ht="150" x14ac:dyDescent="0.25">
      <c r="A183" t="s">
        <v>1153</v>
      </c>
      <c r="B183" t="s">
        <v>93</v>
      </c>
      <c r="C183" t="s">
        <v>1154</v>
      </c>
      <c r="D183" t="s">
        <v>1155</v>
      </c>
      <c r="E183" t="s">
        <v>1156</v>
      </c>
      <c r="F183">
        <v>3</v>
      </c>
      <c r="G183">
        <v>6</v>
      </c>
      <c r="H183">
        <v>3</v>
      </c>
      <c r="I183" s="1" t="s">
        <v>1157</v>
      </c>
      <c r="J183" s="1" t="s">
        <v>1158</v>
      </c>
      <c r="K183" s="1" t="s">
        <v>1159</v>
      </c>
    </row>
    <row r="184" spans="1:11" ht="135" x14ac:dyDescent="0.25">
      <c r="A184" t="s">
        <v>1160</v>
      </c>
      <c r="B184" t="s">
        <v>93</v>
      </c>
      <c r="C184" t="s">
        <v>1161</v>
      </c>
      <c r="D184" t="s">
        <v>1162</v>
      </c>
      <c r="E184" t="s">
        <v>742</v>
      </c>
      <c r="F184">
        <v>3</v>
      </c>
      <c r="G184">
        <v>2</v>
      </c>
      <c r="H184">
        <v>1</v>
      </c>
      <c r="I184" s="1" t="s">
        <v>1163</v>
      </c>
      <c r="J184" s="1" t="s">
        <v>1164</v>
      </c>
      <c r="K184" s="1" t="s">
        <v>1165</v>
      </c>
    </row>
    <row r="185" spans="1:11" ht="150" x14ac:dyDescent="0.25">
      <c r="A185" t="s">
        <v>1166</v>
      </c>
      <c r="B185" t="s">
        <v>93</v>
      </c>
      <c r="C185" t="s">
        <v>1167</v>
      </c>
      <c r="D185" t="s">
        <v>1168</v>
      </c>
      <c r="E185" t="s">
        <v>1169</v>
      </c>
      <c r="F185">
        <v>4</v>
      </c>
      <c r="G185">
        <v>3</v>
      </c>
      <c r="H185">
        <v>3</v>
      </c>
      <c r="I185" s="1" t="s">
        <v>1170</v>
      </c>
      <c r="J185" s="1" t="s">
        <v>1171</v>
      </c>
      <c r="K185" s="1" t="s">
        <v>1172</v>
      </c>
    </row>
    <row r="186" spans="1:11" ht="135" x14ac:dyDescent="0.25">
      <c r="A186" t="s">
        <v>1173</v>
      </c>
      <c r="B186" t="s">
        <v>93</v>
      </c>
      <c r="C186" t="e">
        <f>-more colours -more pixels -takes up more space -more informations</f>
        <v>#NAME?</v>
      </c>
      <c r="D186" t="s">
        <v>1174</v>
      </c>
      <c r="E186" t="s">
        <v>1175</v>
      </c>
      <c r="F186">
        <v>3</v>
      </c>
      <c r="G186">
        <v>4</v>
      </c>
      <c r="H186">
        <v>2</v>
      </c>
      <c r="I186" s="1" t="s">
        <v>554</v>
      </c>
      <c r="J186" s="1" t="s">
        <v>1176</v>
      </c>
      <c r="K186" s="1" t="s">
        <v>1177</v>
      </c>
    </row>
    <row r="187" spans="1:11" ht="90" x14ac:dyDescent="0.25">
      <c r="A187" t="s">
        <v>1178</v>
      </c>
      <c r="B187" t="s">
        <v>93</v>
      </c>
      <c r="C187" t="s">
        <v>1179</v>
      </c>
      <c r="D187" t="s">
        <v>95</v>
      </c>
      <c r="E187" t="s">
        <v>95</v>
      </c>
      <c r="F187">
        <v>1</v>
      </c>
      <c r="G187">
        <v>3</v>
      </c>
      <c r="H187">
        <v>0</v>
      </c>
      <c r="I187" s="1" t="s">
        <v>68</v>
      </c>
      <c r="J187" s="1" t="s">
        <v>1180</v>
      </c>
    </row>
    <row r="188" spans="1:11" ht="90" x14ac:dyDescent="0.25">
      <c r="A188" t="s">
        <v>1181</v>
      </c>
      <c r="B188" t="s">
        <v>93</v>
      </c>
      <c r="C188" t="s">
        <v>1182</v>
      </c>
      <c r="D188" t="s">
        <v>1183</v>
      </c>
      <c r="E188" t="s">
        <v>1184</v>
      </c>
      <c r="F188">
        <v>3</v>
      </c>
      <c r="G188">
        <v>4</v>
      </c>
      <c r="H188">
        <v>2</v>
      </c>
      <c r="I188" s="1" t="s">
        <v>1185</v>
      </c>
      <c r="J188" s="1" t="s">
        <v>1186</v>
      </c>
      <c r="K188" s="1" t="s">
        <v>1187</v>
      </c>
    </row>
    <row r="189" spans="1:11" ht="90" x14ac:dyDescent="0.25">
      <c r="A189" t="s">
        <v>1188</v>
      </c>
      <c r="B189" t="s">
        <v>93</v>
      </c>
      <c r="C189" t="s">
        <v>1189</v>
      </c>
      <c r="D189" t="s">
        <v>1190</v>
      </c>
      <c r="E189" t="s">
        <v>520</v>
      </c>
      <c r="F189">
        <v>3</v>
      </c>
      <c r="G189">
        <v>3</v>
      </c>
      <c r="H189">
        <v>2</v>
      </c>
      <c r="I189" s="1" t="s">
        <v>1191</v>
      </c>
      <c r="J189" s="1" t="s">
        <v>1192</v>
      </c>
      <c r="K189" s="1" t="s">
        <v>1193</v>
      </c>
    </row>
    <row r="190" spans="1:11" ht="195" x14ac:dyDescent="0.25">
      <c r="A190" t="s">
        <v>1194</v>
      </c>
      <c r="B190" t="s">
        <v>93</v>
      </c>
      <c r="C190" t="s">
        <v>1195</v>
      </c>
      <c r="D190" t="s">
        <v>1196</v>
      </c>
      <c r="E190" t="s">
        <v>1197</v>
      </c>
      <c r="F190">
        <v>4</v>
      </c>
      <c r="G190">
        <v>8</v>
      </c>
      <c r="H190">
        <v>4</v>
      </c>
      <c r="I190" s="1" t="s">
        <v>1198</v>
      </c>
      <c r="J190" s="1" t="s">
        <v>1199</v>
      </c>
      <c r="K190" s="1" t="s">
        <v>1200</v>
      </c>
    </row>
    <row r="191" spans="1:11" ht="75" x14ac:dyDescent="0.25">
      <c r="A191" t="s">
        <v>1201</v>
      </c>
      <c r="B191" t="s">
        <v>93</v>
      </c>
      <c r="C191" t="s">
        <v>1202</v>
      </c>
      <c r="D191" t="s">
        <v>1203</v>
      </c>
      <c r="E191" t="s">
        <v>1204</v>
      </c>
      <c r="F191">
        <v>2</v>
      </c>
      <c r="G191">
        <v>2</v>
      </c>
      <c r="H191">
        <v>1</v>
      </c>
      <c r="I191" s="1" t="s">
        <v>1205</v>
      </c>
      <c r="J191" s="1" t="s">
        <v>1206</v>
      </c>
      <c r="K191" s="1" t="s">
        <v>1207</v>
      </c>
    </row>
    <row r="192" spans="1:11" ht="75" x14ac:dyDescent="0.25">
      <c r="A192" t="s">
        <v>1208</v>
      </c>
      <c r="B192" t="s">
        <v>93</v>
      </c>
      <c r="C192" t="s">
        <v>1209</v>
      </c>
      <c r="D192" t="s">
        <v>1210</v>
      </c>
      <c r="E192" t="s">
        <v>1211</v>
      </c>
      <c r="F192">
        <v>2</v>
      </c>
      <c r="G192">
        <v>2</v>
      </c>
      <c r="H192">
        <v>1</v>
      </c>
      <c r="I192" s="1" t="s">
        <v>797</v>
      </c>
      <c r="J192" s="1" t="s">
        <v>1212</v>
      </c>
      <c r="K192" s="1" t="s">
        <v>1213</v>
      </c>
    </row>
    <row r="193" spans="1:11" ht="45" x14ac:dyDescent="0.25">
      <c r="A193" t="s">
        <v>1214</v>
      </c>
      <c r="B193" t="s">
        <v>93</v>
      </c>
      <c r="C193" t="s">
        <v>1215</v>
      </c>
      <c r="D193" t="s">
        <v>1216</v>
      </c>
      <c r="E193" t="s">
        <v>155</v>
      </c>
      <c r="F193">
        <v>1</v>
      </c>
      <c r="G193">
        <v>1</v>
      </c>
      <c r="H193">
        <v>0</v>
      </c>
      <c r="I193" s="1" t="s">
        <v>68</v>
      </c>
      <c r="J193" s="1" t="s">
        <v>1217</v>
      </c>
    </row>
    <row r="194" spans="1:11" ht="75" x14ac:dyDescent="0.25">
      <c r="A194" t="s">
        <v>1218</v>
      </c>
      <c r="B194" t="s">
        <v>93</v>
      </c>
      <c r="C194" t="s">
        <v>1219</v>
      </c>
      <c r="D194" t="s">
        <v>1220</v>
      </c>
      <c r="E194" t="s">
        <v>1221</v>
      </c>
      <c r="F194">
        <v>2</v>
      </c>
      <c r="G194">
        <v>1</v>
      </c>
      <c r="H194">
        <v>1</v>
      </c>
      <c r="I194" s="1" t="s">
        <v>932</v>
      </c>
      <c r="J194" s="1" t="s">
        <v>1222</v>
      </c>
      <c r="K194" s="1" t="s">
        <v>1223</v>
      </c>
    </row>
    <row r="195" spans="1:11" ht="75" x14ac:dyDescent="0.25">
      <c r="A195" t="s">
        <v>1224</v>
      </c>
      <c r="B195" t="s">
        <v>93</v>
      </c>
      <c r="C195" t="s">
        <v>1225</v>
      </c>
      <c r="D195" t="s">
        <v>734</v>
      </c>
      <c r="E195" t="s">
        <v>735</v>
      </c>
      <c r="F195">
        <v>2</v>
      </c>
      <c r="G195">
        <v>2</v>
      </c>
      <c r="H195">
        <v>1</v>
      </c>
      <c r="I195" s="1" t="s">
        <v>736</v>
      </c>
      <c r="J195" s="1" t="s">
        <v>737</v>
      </c>
      <c r="K195" s="1" t="s">
        <v>1226</v>
      </c>
    </row>
    <row r="196" spans="1:11" ht="75" x14ac:dyDescent="0.25">
      <c r="A196" t="s">
        <v>1227</v>
      </c>
      <c r="B196" t="s">
        <v>93</v>
      </c>
      <c r="C196" t="s">
        <v>1228</v>
      </c>
      <c r="D196" t="s">
        <v>1229</v>
      </c>
      <c r="E196" t="s">
        <v>803</v>
      </c>
      <c r="F196">
        <v>2</v>
      </c>
      <c r="G196">
        <v>2</v>
      </c>
      <c r="H196">
        <v>1</v>
      </c>
      <c r="I196" s="1" t="s">
        <v>1230</v>
      </c>
      <c r="J196" s="1" t="s">
        <v>1231</v>
      </c>
      <c r="K196" s="1" t="s">
        <v>1232</v>
      </c>
    </row>
    <row r="197" spans="1:11" ht="45" x14ac:dyDescent="0.25">
      <c r="A197" t="s">
        <v>1233</v>
      </c>
      <c r="B197" t="s">
        <v>93</v>
      </c>
      <c r="C197" t="s">
        <v>1234</v>
      </c>
      <c r="D197" t="s">
        <v>1220</v>
      </c>
      <c r="E197" t="s">
        <v>1221</v>
      </c>
      <c r="F197">
        <v>1</v>
      </c>
      <c r="G197">
        <v>1</v>
      </c>
      <c r="H197">
        <v>0</v>
      </c>
      <c r="I197" s="1" t="s">
        <v>68</v>
      </c>
      <c r="J197" s="1" t="s">
        <v>1235</v>
      </c>
    </row>
    <row r="198" spans="1:11" ht="75" x14ac:dyDescent="0.25">
      <c r="A198" t="s">
        <v>1236</v>
      </c>
      <c r="B198" t="s">
        <v>93</v>
      </c>
      <c r="C198" t="s">
        <v>1237</v>
      </c>
      <c r="D198" t="s">
        <v>1238</v>
      </c>
      <c r="E198" t="s">
        <v>1221</v>
      </c>
      <c r="F198">
        <v>2</v>
      </c>
      <c r="G198">
        <v>1</v>
      </c>
      <c r="H198">
        <v>1</v>
      </c>
      <c r="I198" s="1" t="s">
        <v>1239</v>
      </c>
      <c r="J198" s="1" t="s">
        <v>1240</v>
      </c>
      <c r="K198" s="1" t="s">
        <v>1241</v>
      </c>
    </row>
    <row r="199" spans="1:11" ht="165" x14ac:dyDescent="0.25">
      <c r="A199" t="s">
        <v>1242</v>
      </c>
      <c r="B199" t="s">
        <v>93</v>
      </c>
      <c r="C199" t="s">
        <v>1243</v>
      </c>
      <c r="D199" t="s">
        <v>1244</v>
      </c>
      <c r="E199" t="s">
        <v>1245</v>
      </c>
      <c r="F199">
        <v>4</v>
      </c>
      <c r="G199">
        <v>4</v>
      </c>
      <c r="H199">
        <v>3</v>
      </c>
      <c r="I199" s="1" t="s">
        <v>1246</v>
      </c>
      <c r="J199" s="1" t="s">
        <v>1247</v>
      </c>
      <c r="K199" s="1" t="s">
        <v>1248</v>
      </c>
    </row>
    <row r="200" spans="1:11" ht="135" x14ac:dyDescent="0.25">
      <c r="A200" t="s">
        <v>1249</v>
      </c>
      <c r="B200" t="s">
        <v>93</v>
      </c>
      <c r="C200" t="s">
        <v>1250</v>
      </c>
      <c r="D200" t="s">
        <v>1251</v>
      </c>
      <c r="E200" t="s">
        <v>1252</v>
      </c>
      <c r="F200">
        <v>4</v>
      </c>
      <c r="G200">
        <v>4</v>
      </c>
      <c r="H200">
        <v>3</v>
      </c>
      <c r="I200" s="1" t="s">
        <v>1253</v>
      </c>
      <c r="J200" s="1" t="s">
        <v>1254</v>
      </c>
      <c r="K200" s="1" t="s">
        <v>1255</v>
      </c>
    </row>
    <row r="201" spans="1:11" ht="180" x14ac:dyDescent="0.25">
      <c r="A201" t="s">
        <v>1256</v>
      </c>
      <c r="B201" t="s">
        <v>93</v>
      </c>
      <c r="C201" t="s">
        <v>1257</v>
      </c>
      <c r="D201" t="s">
        <v>1258</v>
      </c>
      <c r="E201" t="s">
        <v>1259</v>
      </c>
      <c r="F201">
        <v>5</v>
      </c>
      <c r="G201">
        <v>6</v>
      </c>
      <c r="H201">
        <v>3</v>
      </c>
      <c r="I201" s="1" t="s">
        <v>1260</v>
      </c>
      <c r="J201" s="1" t="s">
        <v>1261</v>
      </c>
      <c r="K201" s="1" t="s">
        <v>1262</v>
      </c>
    </row>
    <row r="202" spans="1:11" ht="105" x14ac:dyDescent="0.25">
      <c r="A202" t="s">
        <v>1263</v>
      </c>
      <c r="B202" t="s">
        <v>93</v>
      </c>
      <c r="C202" t="s">
        <v>1264</v>
      </c>
      <c r="D202" t="s">
        <v>1265</v>
      </c>
      <c r="E202" t="s">
        <v>1266</v>
      </c>
      <c r="F202">
        <v>4</v>
      </c>
      <c r="G202">
        <v>4</v>
      </c>
      <c r="H202">
        <v>3</v>
      </c>
      <c r="I202" s="1" t="s">
        <v>1267</v>
      </c>
      <c r="J202" s="1" t="s">
        <v>1268</v>
      </c>
      <c r="K202" s="1" t="s">
        <v>1269</v>
      </c>
    </row>
    <row r="203" spans="1:11" ht="45" x14ac:dyDescent="0.25">
      <c r="A203" t="s">
        <v>1270</v>
      </c>
      <c r="B203" t="s">
        <v>65</v>
      </c>
      <c r="C203" t="s">
        <v>1271</v>
      </c>
      <c r="D203" t="s">
        <v>1272</v>
      </c>
      <c r="E203" t="s">
        <v>150</v>
      </c>
      <c r="F203">
        <v>1</v>
      </c>
      <c r="G203">
        <v>1</v>
      </c>
      <c r="H203">
        <v>0</v>
      </c>
      <c r="I203" s="1" t="s">
        <v>68</v>
      </c>
      <c r="J203" s="1" t="s">
        <v>1273</v>
      </c>
    </row>
    <row r="204" spans="1:11" ht="75" x14ac:dyDescent="0.25">
      <c r="A204" t="s">
        <v>1274</v>
      </c>
      <c r="B204" t="s">
        <v>65</v>
      </c>
      <c r="C204" t="s">
        <v>1275</v>
      </c>
      <c r="D204" t="s">
        <v>1276</v>
      </c>
      <c r="E204" t="s">
        <v>1277</v>
      </c>
      <c r="F204">
        <v>2</v>
      </c>
      <c r="G204">
        <v>3</v>
      </c>
      <c r="H204">
        <v>2</v>
      </c>
      <c r="I204" s="1" t="s">
        <v>1278</v>
      </c>
      <c r="J204" s="1" t="s">
        <v>1279</v>
      </c>
      <c r="K204" s="1" t="s">
        <v>1280</v>
      </c>
    </row>
    <row r="205" spans="1:11" ht="90" x14ac:dyDescent="0.25">
      <c r="A205" t="s">
        <v>1281</v>
      </c>
      <c r="B205" t="s">
        <v>93</v>
      </c>
      <c r="D205" t="s">
        <v>724</v>
      </c>
      <c r="E205" t="s">
        <v>724</v>
      </c>
      <c r="F205">
        <v>2</v>
      </c>
      <c r="G205">
        <v>3</v>
      </c>
      <c r="H205">
        <v>1</v>
      </c>
      <c r="I205" s="1" t="s">
        <v>1282</v>
      </c>
      <c r="J205" s="1" t="s">
        <v>1283</v>
      </c>
      <c r="K205" s="1" t="s">
        <v>1284</v>
      </c>
    </row>
    <row r="206" spans="1:11" ht="60" x14ac:dyDescent="0.25">
      <c r="A206" t="s">
        <v>1285</v>
      </c>
      <c r="B206" t="s">
        <v>65</v>
      </c>
      <c r="C206" t="s">
        <v>1286</v>
      </c>
      <c r="D206" t="s">
        <v>1287</v>
      </c>
      <c r="E206" t="s">
        <v>1288</v>
      </c>
      <c r="F206">
        <v>2</v>
      </c>
      <c r="G206">
        <v>2</v>
      </c>
      <c r="H206">
        <v>1</v>
      </c>
      <c r="I206" s="1" t="s">
        <v>1289</v>
      </c>
      <c r="J206" s="1" t="s">
        <v>1290</v>
      </c>
      <c r="K206" s="1" t="s">
        <v>1291</v>
      </c>
    </row>
    <row r="207" spans="1:11" ht="105" x14ac:dyDescent="0.25">
      <c r="A207" t="s">
        <v>1292</v>
      </c>
      <c r="B207" t="s">
        <v>65</v>
      </c>
      <c r="C207" t="s">
        <v>1293</v>
      </c>
      <c r="D207" t="s">
        <v>1294</v>
      </c>
      <c r="E207" t="s">
        <v>1295</v>
      </c>
      <c r="F207">
        <v>3</v>
      </c>
      <c r="G207">
        <v>3</v>
      </c>
      <c r="H207">
        <v>2</v>
      </c>
      <c r="I207" s="1" t="s">
        <v>1296</v>
      </c>
      <c r="J207" s="1" t="s">
        <v>1297</v>
      </c>
      <c r="K207" s="1" t="s">
        <v>1298</v>
      </c>
    </row>
    <row r="208" spans="1:11" ht="90" x14ac:dyDescent="0.25">
      <c r="A208" t="s">
        <v>1299</v>
      </c>
      <c r="B208" t="s">
        <v>65</v>
      </c>
      <c r="C208" t="s">
        <v>1300</v>
      </c>
      <c r="D208" t="s">
        <v>1301</v>
      </c>
      <c r="E208" t="s">
        <v>1302</v>
      </c>
      <c r="F208">
        <v>3</v>
      </c>
      <c r="G208">
        <v>3</v>
      </c>
      <c r="H208">
        <v>2</v>
      </c>
      <c r="I208" s="1" t="s">
        <v>1303</v>
      </c>
      <c r="J208" s="1" t="s">
        <v>1304</v>
      </c>
      <c r="K208" s="1" t="s">
        <v>1305</v>
      </c>
    </row>
    <row r="209" spans="1:11" ht="135" x14ac:dyDescent="0.25">
      <c r="A209" t="s">
        <v>1306</v>
      </c>
      <c r="B209" t="s">
        <v>65</v>
      </c>
      <c r="C209" t="s">
        <v>1307</v>
      </c>
      <c r="D209" t="s">
        <v>1308</v>
      </c>
      <c r="E209" t="s">
        <v>1309</v>
      </c>
      <c r="F209">
        <v>4</v>
      </c>
      <c r="G209">
        <v>4</v>
      </c>
      <c r="H209">
        <v>3</v>
      </c>
      <c r="I209" s="1" t="s">
        <v>1310</v>
      </c>
      <c r="J209" s="1" t="s">
        <v>1311</v>
      </c>
      <c r="K209" s="1" t="s">
        <v>1312</v>
      </c>
    </row>
    <row r="210" spans="1:11" ht="150" x14ac:dyDescent="0.25">
      <c r="A210" t="s">
        <v>1313</v>
      </c>
      <c r="B210" t="s">
        <v>65</v>
      </c>
      <c r="C210" t="s">
        <v>1314</v>
      </c>
      <c r="D210" t="s">
        <v>1315</v>
      </c>
      <c r="E210" t="s">
        <v>1316</v>
      </c>
      <c r="F210">
        <v>4</v>
      </c>
      <c r="G210">
        <v>5</v>
      </c>
      <c r="H210">
        <v>3</v>
      </c>
      <c r="I210" s="1" t="s">
        <v>1317</v>
      </c>
      <c r="J210" s="1" t="s">
        <v>1318</v>
      </c>
      <c r="K210" s="1" t="s">
        <v>1319</v>
      </c>
    </row>
    <row r="211" spans="1:11" ht="120" x14ac:dyDescent="0.25">
      <c r="A211" t="s">
        <v>1320</v>
      </c>
      <c r="B211" t="s">
        <v>65</v>
      </c>
      <c r="C211" t="s">
        <v>1321</v>
      </c>
      <c r="D211" t="s">
        <v>1322</v>
      </c>
      <c r="E211" t="s">
        <v>1323</v>
      </c>
      <c r="F211">
        <v>3</v>
      </c>
      <c r="G211">
        <v>3</v>
      </c>
      <c r="H211">
        <v>2</v>
      </c>
      <c r="I211" s="1" t="s">
        <v>1324</v>
      </c>
      <c r="J211" s="1" t="s">
        <v>1325</v>
      </c>
      <c r="K211" s="1" t="s">
        <v>1326</v>
      </c>
    </row>
    <row r="212" spans="1:11" ht="45" x14ac:dyDescent="0.25">
      <c r="A212" t="s">
        <v>1327</v>
      </c>
      <c r="B212" t="s">
        <v>65</v>
      </c>
      <c r="C212" t="s">
        <v>1328</v>
      </c>
      <c r="D212" t="s">
        <v>1329</v>
      </c>
      <c r="E212" t="s">
        <v>698</v>
      </c>
      <c r="F212">
        <v>1</v>
      </c>
      <c r="G212">
        <v>1</v>
      </c>
      <c r="H212">
        <v>0</v>
      </c>
      <c r="I212" s="1" t="s">
        <v>68</v>
      </c>
      <c r="J212" s="1" t="s">
        <v>1330</v>
      </c>
    </row>
    <row r="213" spans="1:11" ht="165" x14ac:dyDescent="0.25">
      <c r="A213" t="s">
        <v>1331</v>
      </c>
      <c r="B213" t="s">
        <v>65</v>
      </c>
      <c r="C213" t="s">
        <v>1332</v>
      </c>
      <c r="D213" t="s">
        <v>1333</v>
      </c>
      <c r="E213" t="s">
        <v>1334</v>
      </c>
      <c r="F213">
        <v>4</v>
      </c>
      <c r="G213">
        <v>4</v>
      </c>
      <c r="H213">
        <v>3</v>
      </c>
      <c r="I213" s="1" t="s">
        <v>1335</v>
      </c>
      <c r="J213" s="1" t="s">
        <v>1336</v>
      </c>
      <c r="K213" s="1" t="s">
        <v>1337</v>
      </c>
    </row>
    <row r="214" spans="1:11" ht="75" x14ac:dyDescent="0.25">
      <c r="A214" t="s">
        <v>1338</v>
      </c>
      <c r="B214" t="s">
        <v>65</v>
      </c>
      <c r="C214" t="s">
        <v>1339</v>
      </c>
      <c r="D214" t="s">
        <v>1340</v>
      </c>
      <c r="E214" t="s">
        <v>1341</v>
      </c>
      <c r="F214">
        <v>2</v>
      </c>
      <c r="G214">
        <v>2</v>
      </c>
      <c r="H214">
        <v>1</v>
      </c>
      <c r="I214" s="1" t="s">
        <v>1342</v>
      </c>
      <c r="J214" s="1" t="s">
        <v>1343</v>
      </c>
      <c r="K214" s="1" t="s">
        <v>1344</v>
      </c>
    </row>
    <row r="215" spans="1:11" ht="120" x14ac:dyDescent="0.25">
      <c r="A215" t="s">
        <v>1345</v>
      </c>
      <c r="B215" t="s">
        <v>65</v>
      </c>
      <c r="C215" t="s">
        <v>1346</v>
      </c>
      <c r="D215" t="s">
        <v>1347</v>
      </c>
      <c r="E215" t="s">
        <v>1348</v>
      </c>
      <c r="F215">
        <v>3</v>
      </c>
      <c r="G215">
        <v>2</v>
      </c>
      <c r="H215">
        <v>2</v>
      </c>
      <c r="I215" s="1" t="s">
        <v>1349</v>
      </c>
      <c r="J215" s="1" t="s">
        <v>1350</v>
      </c>
      <c r="K215" s="1" t="s">
        <v>1351</v>
      </c>
    </row>
    <row r="216" spans="1:11" ht="60" x14ac:dyDescent="0.25">
      <c r="A216" t="s">
        <v>1352</v>
      </c>
      <c r="B216" t="s">
        <v>65</v>
      </c>
      <c r="C216" t="s">
        <v>1353</v>
      </c>
      <c r="D216" t="s">
        <v>1354</v>
      </c>
      <c r="E216" t="s">
        <v>839</v>
      </c>
      <c r="F216">
        <v>2</v>
      </c>
      <c r="G216">
        <v>2</v>
      </c>
      <c r="H216">
        <v>1</v>
      </c>
      <c r="I216" s="1" t="s">
        <v>1355</v>
      </c>
      <c r="J216" s="1" t="s">
        <v>1356</v>
      </c>
      <c r="K216" s="1" t="s">
        <v>1357</v>
      </c>
    </row>
    <row r="217" spans="1:11" ht="45" x14ac:dyDescent="0.25">
      <c r="A217" t="s">
        <v>1358</v>
      </c>
      <c r="B217" t="s">
        <v>65</v>
      </c>
      <c r="C217" t="s">
        <v>1359</v>
      </c>
      <c r="D217" t="s">
        <v>591</v>
      </c>
      <c r="E217" t="s">
        <v>150</v>
      </c>
      <c r="F217">
        <v>1</v>
      </c>
      <c r="G217">
        <v>1</v>
      </c>
      <c r="H217">
        <v>0</v>
      </c>
      <c r="I217" s="1" t="s">
        <v>68</v>
      </c>
      <c r="J217" s="1" t="s">
        <v>876</v>
      </c>
    </row>
    <row r="218" spans="1:11" ht="120" x14ac:dyDescent="0.25">
      <c r="A218" t="s">
        <v>1360</v>
      </c>
      <c r="B218" t="s">
        <v>65</v>
      </c>
      <c r="C218" t="s">
        <v>1361</v>
      </c>
      <c r="D218" t="s">
        <v>1362</v>
      </c>
      <c r="E218" t="s">
        <v>188</v>
      </c>
      <c r="F218">
        <v>3</v>
      </c>
      <c r="G218">
        <v>3</v>
      </c>
      <c r="H218">
        <v>2</v>
      </c>
      <c r="I218" s="1" t="s">
        <v>1363</v>
      </c>
      <c r="J218" s="1" t="s">
        <v>1364</v>
      </c>
      <c r="K218" s="1" t="s">
        <v>1365</v>
      </c>
    </row>
    <row r="219" spans="1:11" ht="105" x14ac:dyDescent="0.25">
      <c r="A219" t="s">
        <v>1366</v>
      </c>
      <c r="B219" t="s">
        <v>65</v>
      </c>
      <c r="C219" t="s">
        <v>1367</v>
      </c>
      <c r="D219" t="s">
        <v>1368</v>
      </c>
      <c r="E219" t="s">
        <v>1369</v>
      </c>
      <c r="F219">
        <v>3</v>
      </c>
      <c r="G219">
        <v>4</v>
      </c>
      <c r="H219">
        <v>3</v>
      </c>
      <c r="I219" s="1" t="s">
        <v>1370</v>
      </c>
      <c r="J219" s="1" t="s">
        <v>1371</v>
      </c>
      <c r="K219" s="1" t="s">
        <v>1372</v>
      </c>
    </row>
    <row r="220" spans="1:11" ht="75" x14ac:dyDescent="0.25">
      <c r="A220" t="s">
        <v>1373</v>
      </c>
      <c r="B220" t="s">
        <v>65</v>
      </c>
      <c r="C220" t="s">
        <v>1374</v>
      </c>
      <c r="D220" t="s">
        <v>1375</v>
      </c>
      <c r="E220" t="s">
        <v>1376</v>
      </c>
      <c r="F220">
        <v>2</v>
      </c>
      <c r="G220">
        <v>2</v>
      </c>
      <c r="H220">
        <v>1</v>
      </c>
      <c r="I220" s="1" t="s">
        <v>1377</v>
      </c>
      <c r="J220" s="1" t="s">
        <v>1378</v>
      </c>
      <c r="K220" s="1" t="s">
        <v>1379</v>
      </c>
    </row>
    <row r="221" spans="1:11" ht="90" x14ac:dyDescent="0.25">
      <c r="A221" t="s">
        <v>1380</v>
      </c>
      <c r="B221" t="s">
        <v>65</v>
      </c>
      <c r="C221" t="s">
        <v>1381</v>
      </c>
      <c r="D221" t="s">
        <v>1382</v>
      </c>
      <c r="E221" t="s">
        <v>95</v>
      </c>
      <c r="F221">
        <v>2</v>
      </c>
      <c r="G221">
        <v>4</v>
      </c>
      <c r="H221">
        <v>1</v>
      </c>
      <c r="I221" s="1" t="s">
        <v>1383</v>
      </c>
      <c r="J221" s="1" t="s">
        <v>1384</v>
      </c>
      <c r="K221" s="1" t="s">
        <v>1385</v>
      </c>
    </row>
    <row r="222" spans="1:11" ht="195" x14ac:dyDescent="0.25">
      <c r="A222" t="s">
        <v>1386</v>
      </c>
      <c r="B222" t="s">
        <v>65</v>
      </c>
      <c r="C222" t="s">
        <v>1387</v>
      </c>
      <c r="D222" t="s">
        <v>1388</v>
      </c>
      <c r="E222" t="s">
        <v>1389</v>
      </c>
      <c r="F222">
        <v>5</v>
      </c>
      <c r="G222">
        <v>8</v>
      </c>
      <c r="H222">
        <v>3</v>
      </c>
      <c r="I222" s="1" t="s">
        <v>1390</v>
      </c>
      <c r="J222" s="1" t="s">
        <v>1391</v>
      </c>
      <c r="K222" s="1" t="s">
        <v>1392</v>
      </c>
    </row>
    <row r="223" spans="1:11" ht="135" x14ac:dyDescent="0.25">
      <c r="A223" t="s">
        <v>1393</v>
      </c>
      <c r="B223" t="s">
        <v>65</v>
      </c>
      <c r="C223" t="s">
        <v>1394</v>
      </c>
      <c r="D223" t="s">
        <v>1395</v>
      </c>
      <c r="E223" t="s">
        <v>1396</v>
      </c>
      <c r="F223">
        <v>4</v>
      </c>
      <c r="G223">
        <v>4</v>
      </c>
      <c r="H223">
        <v>2</v>
      </c>
      <c r="I223" s="1" t="s">
        <v>1397</v>
      </c>
      <c r="J223" s="1" t="s">
        <v>1398</v>
      </c>
      <c r="K223" s="1" t="s">
        <v>1399</v>
      </c>
    </row>
    <row r="224" spans="1:11" ht="120" x14ac:dyDescent="0.25">
      <c r="A224" t="s">
        <v>1400</v>
      </c>
      <c r="B224" t="s">
        <v>65</v>
      </c>
      <c r="C224" t="s">
        <v>1401</v>
      </c>
      <c r="D224" t="s">
        <v>1402</v>
      </c>
      <c r="E224" t="s">
        <v>1403</v>
      </c>
      <c r="F224">
        <v>3</v>
      </c>
      <c r="G224">
        <v>3</v>
      </c>
      <c r="H224">
        <v>2</v>
      </c>
      <c r="I224" s="1" t="s">
        <v>1404</v>
      </c>
      <c r="J224" s="1" t="s">
        <v>1405</v>
      </c>
      <c r="K224" s="1" t="s">
        <v>1406</v>
      </c>
    </row>
    <row r="225" spans="1:11" ht="105" x14ac:dyDescent="0.25">
      <c r="A225" t="s">
        <v>1407</v>
      </c>
      <c r="B225" t="s">
        <v>65</v>
      </c>
      <c r="C225" t="s">
        <v>1408</v>
      </c>
      <c r="D225" t="s">
        <v>1409</v>
      </c>
      <c r="E225" t="s">
        <v>1410</v>
      </c>
      <c r="F225">
        <v>3</v>
      </c>
      <c r="G225">
        <v>5</v>
      </c>
      <c r="H225">
        <v>2</v>
      </c>
      <c r="I225" s="1" t="s">
        <v>1411</v>
      </c>
      <c r="J225" s="1" t="s">
        <v>1412</v>
      </c>
      <c r="K225" s="1" t="s">
        <v>1413</v>
      </c>
    </row>
    <row r="226" spans="1:11" ht="75" x14ac:dyDescent="0.25">
      <c r="A226" t="s">
        <v>1414</v>
      </c>
      <c r="B226" t="s">
        <v>65</v>
      </c>
      <c r="C226" t="s">
        <v>1415</v>
      </c>
      <c r="D226" t="s">
        <v>519</v>
      </c>
      <c r="E226" t="s">
        <v>520</v>
      </c>
      <c r="F226">
        <v>2</v>
      </c>
      <c r="G226">
        <v>2</v>
      </c>
      <c r="H226">
        <v>1</v>
      </c>
      <c r="I226" s="1" t="s">
        <v>1416</v>
      </c>
      <c r="J226" s="1" t="s">
        <v>1417</v>
      </c>
      <c r="K226" s="1" t="s">
        <v>1418</v>
      </c>
    </row>
    <row r="227" spans="1:11" ht="45" x14ac:dyDescent="0.25">
      <c r="A227" t="s">
        <v>1419</v>
      </c>
      <c r="B227" t="s">
        <v>65</v>
      </c>
      <c r="C227" t="s">
        <v>1420</v>
      </c>
      <c r="D227" t="s">
        <v>329</v>
      </c>
      <c r="E227" t="s">
        <v>150</v>
      </c>
      <c r="F227">
        <v>1</v>
      </c>
      <c r="G227">
        <v>1</v>
      </c>
      <c r="H227">
        <v>0</v>
      </c>
      <c r="I227" s="1" t="s">
        <v>68</v>
      </c>
      <c r="J227" s="1" t="s">
        <v>1421</v>
      </c>
    </row>
    <row r="228" spans="1:11" ht="210" x14ac:dyDescent="0.25">
      <c r="A228" t="s">
        <v>1422</v>
      </c>
      <c r="B228" t="s">
        <v>65</v>
      </c>
      <c r="C228" t="s">
        <v>1423</v>
      </c>
      <c r="D228" t="s">
        <v>1424</v>
      </c>
      <c r="E228" t="s">
        <v>1425</v>
      </c>
      <c r="F228">
        <v>6</v>
      </c>
      <c r="G228">
        <v>10</v>
      </c>
      <c r="H228">
        <v>5</v>
      </c>
      <c r="I228" s="1" t="s">
        <v>1426</v>
      </c>
      <c r="J228" s="1" t="s">
        <v>1427</v>
      </c>
      <c r="K228" s="1" t="s">
        <v>1428</v>
      </c>
    </row>
    <row r="229" spans="1:11" ht="105" x14ac:dyDescent="0.25">
      <c r="A229" t="s">
        <v>1429</v>
      </c>
      <c r="B229" t="s">
        <v>65</v>
      </c>
      <c r="C229" t="s">
        <v>1430</v>
      </c>
      <c r="D229" t="s">
        <v>1431</v>
      </c>
      <c r="E229" t="s">
        <v>155</v>
      </c>
      <c r="F229">
        <v>2</v>
      </c>
      <c r="G229">
        <v>4</v>
      </c>
      <c r="H229">
        <v>2</v>
      </c>
      <c r="I229" s="1" t="s">
        <v>1432</v>
      </c>
      <c r="J229" s="1" t="s">
        <v>1433</v>
      </c>
      <c r="K229" s="1" t="s">
        <v>1434</v>
      </c>
    </row>
    <row r="230" spans="1:11" ht="45" x14ac:dyDescent="0.25">
      <c r="A230" t="s">
        <v>1435</v>
      </c>
      <c r="B230" t="s">
        <v>65</v>
      </c>
      <c r="C230" t="s">
        <v>1436</v>
      </c>
      <c r="D230" t="s">
        <v>1437</v>
      </c>
      <c r="E230" t="s">
        <v>150</v>
      </c>
      <c r="F230">
        <v>1</v>
      </c>
      <c r="G230">
        <v>1</v>
      </c>
      <c r="H230">
        <v>0</v>
      </c>
      <c r="I230" s="1" t="s">
        <v>68</v>
      </c>
      <c r="J230" s="1" t="s">
        <v>1438</v>
      </c>
    </row>
    <row r="231" spans="1:11" ht="105" x14ac:dyDescent="0.25">
      <c r="A231" t="s">
        <v>1439</v>
      </c>
      <c r="B231" t="s">
        <v>65</v>
      </c>
      <c r="C231" t="s">
        <v>1440</v>
      </c>
      <c r="D231" t="s">
        <v>1441</v>
      </c>
      <c r="E231" t="s">
        <v>850</v>
      </c>
      <c r="F231">
        <v>3</v>
      </c>
      <c r="G231">
        <v>3</v>
      </c>
      <c r="H231">
        <v>2</v>
      </c>
      <c r="I231" s="1" t="s">
        <v>1442</v>
      </c>
      <c r="J231" s="1" t="s">
        <v>1443</v>
      </c>
      <c r="K231" s="1" t="s">
        <v>1444</v>
      </c>
    </row>
    <row r="232" spans="1:11" ht="60" x14ac:dyDescent="0.25">
      <c r="A232" t="s">
        <v>1445</v>
      </c>
      <c r="B232" t="s">
        <v>65</v>
      </c>
      <c r="C232" t="s">
        <v>1446</v>
      </c>
      <c r="D232" t="s">
        <v>1447</v>
      </c>
      <c r="E232" t="s">
        <v>1448</v>
      </c>
      <c r="F232">
        <v>1</v>
      </c>
      <c r="G232">
        <v>2</v>
      </c>
      <c r="H232">
        <v>0</v>
      </c>
      <c r="I232" s="1" t="s">
        <v>68</v>
      </c>
      <c r="J232" s="1" t="s">
        <v>1449</v>
      </c>
    </row>
    <row r="233" spans="1:11" ht="135" x14ac:dyDescent="0.25">
      <c r="A233" t="s">
        <v>1450</v>
      </c>
      <c r="B233" t="s">
        <v>65</v>
      </c>
      <c r="C233" t="s">
        <v>1451</v>
      </c>
      <c r="D233" t="s">
        <v>1452</v>
      </c>
      <c r="E233" t="s">
        <v>1453</v>
      </c>
      <c r="F233">
        <v>4</v>
      </c>
      <c r="G233">
        <v>3</v>
      </c>
      <c r="H233">
        <v>2</v>
      </c>
      <c r="I233" s="1" t="s">
        <v>1454</v>
      </c>
      <c r="J233" s="1" t="s">
        <v>1455</v>
      </c>
      <c r="K233" s="1" t="s">
        <v>1456</v>
      </c>
    </row>
    <row r="234" spans="1:11" ht="120" x14ac:dyDescent="0.25">
      <c r="A234" t="s">
        <v>1457</v>
      </c>
      <c r="B234" t="s">
        <v>65</v>
      </c>
      <c r="C234" t="s">
        <v>1458</v>
      </c>
      <c r="D234" t="s">
        <v>1459</v>
      </c>
      <c r="E234" t="s">
        <v>1460</v>
      </c>
      <c r="F234">
        <v>3</v>
      </c>
      <c r="G234">
        <v>3</v>
      </c>
      <c r="H234">
        <v>2</v>
      </c>
      <c r="I234" s="1" t="s">
        <v>1461</v>
      </c>
      <c r="J234" s="1" t="s">
        <v>1462</v>
      </c>
      <c r="K234" s="1" t="s">
        <v>1463</v>
      </c>
    </row>
    <row r="235" spans="1:11" ht="105" x14ac:dyDescent="0.25">
      <c r="A235" t="s">
        <v>1464</v>
      </c>
      <c r="B235" t="s">
        <v>65</v>
      </c>
      <c r="C235" t="s">
        <v>1465</v>
      </c>
      <c r="D235" t="s">
        <v>1466</v>
      </c>
      <c r="E235" t="s">
        <v>520</v>
      </c>
      <c r="F235">
        <v>3</v>
      </c>
      <c r="G235">
        <v>4</v>
      </c>
      <c r="H235">
        <v>2</v>
      </c>
      <c r="I235" s="1" t="s">
        <v>1467</v>
      </c>
      <c r="J235" s="1" t="s">
        <v>1468</v>
      </c>
      <c r="K235" s="1" t="s">
        <v>1469</v>
      </c>
    </row>
    <row r="236" spans="1:11" ht="60" x14ac:dyDescent="0.25">
      <c r="A236" t="s">
        <v>1470</v>
      </c>
      <c r="B236" t="s">
        <v>65</v>
      </c>
      <c r="C236" t="s">
        <v>1471</v>
      </c>
      <c r="D236" t="s">
        <v>1472</v>
      </c>
      <c r="E236" t="s">
        <v>1473</v>
      </c>
      <c r="F236">
        <v>2</v>
      </c>
      <c r="G236">
        <v>2</v>
      </c>
      <c r="H236">
        <v>1</v>
      </c>
      <c r="I236" s="1" t="s">
        <v>1474</v>
      </c>
      <c r="J236" s="1" t="s">
        <v>1475</v>
      </c>
      <c r="K236" s="1" t="s">
        <v>1476</v>
      </c>
    </row>
    <row r="237" spans="1:11" ht="45" x14ac:dyDescent="0.25">
      <c r="A237" t="s">
        <v>1477</v>
      </c>
      <c r="B237" t="s">
        <v>65</v>
      </c>
      <c r="C237" t="s">
        <v>1478</v>
      </c>
      <c r="D237" t="s">
        <v>1479</v>
      </c>
      <c r="E237" t="s">
        <v>698</v>
      </c>
      <c r="F237">
        <v>1</v>
      </c>
      <c r="G237">
        <v>1</v>
      </c>
      <c r="H237">
        <v>0</v>
      </c>
      <c r="I237" s="1" t="s">
        <v>68</v>
      </c>
      <c r="J237" s="1" t="s">
        <v>1480</v>
      </c>
    </row>
    <row r="238" spans="1:11" ht="45" x14ac:dyDescent="0.25">
      <c r="A238" t="s">
        <v>1481</v>
      </c>
      <c r="B238" t="s">
        <v>65</v>
      </c>
      <c r="C238" t="s">
        <v>1482</v>
      </c>
      <c r="D238" t="s">
        <v>697</v>
      </c>
      <c r="E238" t="s">
        <v>698</v>
      </c>
      <c r="F238">
        <v>1</v>
      </c>
      <c r="G238">
        <v>1</v>
      </c>
      <c r="H238">
        <v>0</v>
      </c>
      <c r="I238" s="1" t="s">
        <v>68</v>
      </c>
      <c r="J238" s="1" t="s">
        <v>1483</v>
      </c>
    </row>
    <row r="239" spans="1:11" ht="75" x14ac:dyDescent="0.25">
      <c r="A239" t="s">
        <v>1484</v>
      </c>
      <c r="B239" t="s">
        <v>65</v>
      </c>
      <c r="C239" t="s">
        <v>1485</v>
      </c>
      <c r="D239" t="s">
        <v>1486</v>
      </c>
      <c r="E239" t="s">
        <v>1487</v>
      </c>
      <c r="F239">
        <v>2</v>
      </c>
      <c r="G239">
        <v>3</v>
      </c>
      <c r="H239">
        <v>2</v>
      </c>
      <c r="I239" s="1" t="s">
        <v>1488</v>
      </c>
      <c r="J239" s="1" t="s">
        <v>1489</v>
      </c>
      <c r="K239" s="1" t="s">
        <v>1490</v>
      </c>
    </row>
    <row r="240" spans="1:11" ht="45" x14ac:dyDescent="0.25">
      <c r="A240" t="s">
        <v>1491</v>
      </c>
      <c r="B240" t="s">
        <v>65</v>
      </c>
      <c r="C240" t="s">
        <v>1492</v>
      </c>
      <c r="D240" t="s">
        <v>1493</v>
      </c>
      <c r="E240" t="s">
        <v>724</v>
      </c>
      <c r="F240">
        <v>1</v>
      </c>
      <c r="G240">
        <v>1</v>
      </c>
      <c r="H240">
        <v>0</v>
      </c>
      <c r="I240" s="1" t="s">
        <v>68</v>
      </c>
      <c r="J240" s="1" t="s">
        <v>1494</v>
      </c>
    </row>
    <row r="241" spans="1:11" ht="45" x14ac:dyDescent="0.25">
      <c r="A241" t="s">
        <v>1495</v>
      </c>
      <c r="B241" t="s">
        <v>65</v>
      </c>
      <c r="C241" t="s">
        <v>1496</v>
      </c>
      <c r="D241" t="s">
        <v>1329</v>
      </c>
      <c r="E241" t="s">
        <v>698</v>
      </c>
      <c r="F241">
        <v>1</v>
      </c>
      <c r="G241">
        <v>1</v>
      </c>
      <c r="H241">
        <v>0</v>
      </c>
      <c r="I241" s="1" t="s">
        <v>68</v>
      </c>
      <c r="J241" s="1" t="s">
        <v>1497</v>
      </c>
    </row>
    <row r="242" spans="1:11" ht="45" x14ac:dyDescent="0.25">
      <c r="A242" t="s">
        <v>1498</v>
      </c>
      <c r="B242" t="s">
        <v>65</v>
      </c>
      <c r="C242" t="s">
        <v>1499</v>
      </c>
      <c r="D242" t="s">
        <v>1500</v>
      </c>
      <c r="E242" t="s">
        <v>15</v>
      </c>
      <c r="F242">
        <v>1</v>
      </c>
      <c r="G242">
        <v>1</v>
      </c>
      <c r="H242">
        <v>0</v>
      </c>
      <c r="I242" s="1" t="s">
        <v>1501</v>
      </c>
      <c r="J242" s="1" t="s">
        <v>1502</v>
      </c>
    </row>
    <row r="243" spans="1:11" ht="45" x14ac:dyDescent="0.25">
      <c r="A243" t="s">
        <v>1503</v>
      </c>
      <c r="B243" t="s">
        <v>65</v>
      </c>
      <c r="C243" t="s">
        <v>1504</v>
      </c>
      <c r="D243" t="s">
        <v>381</v>
      </c>
      <c r="E243" t="s">
        <v>381</v>
      </c>
      <c r="F243">
        <v>1</v>
      </c>
      <c r="G243">
        <v>1</v>
      </c>
      <c r="H243">
        <v>0</v>
      </c>
      <c r="I243" s="1" t="s">
        <v>68</v>
      </c>
      <c r="J243" s="1" t="s">
        <v>1505</v>
      </c>
    </row>
    <row r="244" spans="1:11" ht="75" x14ac:dyDescent="0.25">
      <c r="A244" t="s">
        <v>1506</v>
      </c>
      <c r="B244" t="s">
        <v>65</v>
      </c>
      <c r="C244" t="s">
        <v>1507</v>
      </c>
      <c r="D244" t="s">
        <v>1508</v>
      </c>
      <c r="E244" t="s">
        <v>1509</v>
      </c>
      <c r="F244">
        <v>2</v>
      </c>
      <c r="G244">
        <v>4</v>
      </c>
      <c r="H244">
        <v>2</v>
      </c>
      <c r="I244" s="1" t="s">
        <v>1510</v>
      </c>
      <c r="J244" s="1" t="s">
        <v>1511</v>
      </c>
      <c r="K244" s="1" t="s">
        <v>1512</v>
      </c>
    </row>
    <row r="245" spans="1:11" ht="105" x14ac:dyDescent="0.25">
      <c r="A245" t="s">
        <v>1513</v>
      </c>
      <c r="B245" t="s">
        <v>65</v>
      </c>
      <c r="C245" t="s">
        <v>1514</v>
      </c>
      <c r="D245" t="s">
        <v>1515</v>
      </c>
      <c r="E245" t="s">
        <v>1516</v>
      </c>
      <c r="F245">
        <v>3</v>
      </c>
      <c r="G245">
        <v>3</v>
      </c>
      <c r="H245">
        <v>2</v>
      </c>
      <c r="I245" s="1" t="s">
        <v>1517</v>
      </c>
      <c r="J245" s="1" t="s">
        <v>1518</v>
      </c>
      <c r="K245" s="1" t="s">
        <v>1519</v>
      </c>
    </row>
    <row r="246" spans="1:11" ht="30" x14ac:dyDescent="0.25">
      <c r="A246" t="s">
        <v>1520</v>
      </c>
      <c r="B246" t="s">
        <v>65</v>
      </c>
      <c r="C246" t="s">
        <v>1521</v>
      </c>
      <c r="D246" t="s">
        <v>984</v>
      </c>
      <c r="E246" t="s">
        <v>984</v>
      </c>
      <c r="F246">
        <v>1</v>
      </c>
      <c r="G246">
        <v>1</v>
      </c>
      <c r="H246">
        <v>0</v>
      </c>
      <c r="I246" s="1" t="s">
        <v>1522</v>
      </c>
      <c r="J246" s="1" t="s">
        <v>1523</v>
      </c>
    </row>
    <row r="247" spans="1:11" ht="45" x14ac:dyDescent="0.25">
      <c r="A247" t="s">
        <v>1524</v>
      </c>
      <c r="B247" t="s">
        <v>65</v>
      </c>
      <c r="C247" t="s">
        <v>1525</v>
      </c>
      <c r="D247" t="s">
        <v>697</v>
      </c>
      <c r="E247" t="s">
        <v>698</v>
      </c>
      <c r="F247">
        <v>1</v>
      </c>
      <c r="G247">
        <v>1</v>
      </c>
      <c r="H247">
        <v>0</v>
      </c>
      <c r="I247" s="1" t="s">
        <v>1526</v>
      </c>
      <c r="J247" s="1" t="s">
        <v>1527</v>
      </c>
    </row>
    <row r="248" spans="1:11" ht="105" x14ac:dyDescent="0.25">
      <c r="A248" t="s">
        <v>1528</v>
      </c>
      <c r="B248" t="s">
        <v>65</v>
      </c>
      <c r="C248" t="s">
        <v>1529</v>
      </c>
      <c r="D248" t="s">
        <v>1530</v>
      </c>
      <c r="E248" t="s">
        <v>1531</v>
      </c>
      <c r="F248">
        <v>3</v>
      </c>
      <c r="G248">
        <v>2</v>
      </c>
      <c r="H248">
        <v>1</v>
      </c>
      <c r="I248" s="1" t="s">
        <v>1532</v>
      </c>
      <c r="J248" s="1" t="s">
        <v>1533</v>
      </c>
      <c r="K248" s="1" t="s">
        <v>1534</v>
      </c>
    </row>
    <row r="249" spans="1:11" ht="75" x14ac:dyDescent="0.25">
      <c r="A249" t="s">
        <v>1535</v>
      </c>
      <c r="B249" t="s">
        <v>65</v>
      </c>
      <c r="C249" t="s">
        <v>1536</v>
      </c>
      <c r="D249" t="s">
        <v>1537</v>
      </c>
      <c r="E249" t="s">
        <v>1538</v>
      </c>
      <c r="F249">
        <v>2</v>
      </c>
      <c r="G249">
        <v>2</v>
      </c>
      <c r="H249">
        <v>1</v>
      </c>
      <c r="I249" s="1" t="s">
        <v>1539</v>
      </c>
      <c r="J249" s="1" t="s">
        <v>1540</v>
      </c>
      <c r="K249" s="1" t="s">
        <v>1541</v>
      </c>
    </row>
    <row r="250" spans="1:11" ht="105" x14ac:dyDescent="0.25">
      <c r="A250" t="s">
        <v>1542</v>
      </c>
      <c r="B250" t="s">
        <v>65</v>
      </c>
      <c r="C250" t="s">
        <v>1543</v>
      </c>
      <c r="D250" t="s">
        <v>1544</v>
      </c>
      <c r="E250" t="s">
        <v>1545</v>
      </c>
      <c r="F250">
        <v>3</v>
      </c>
      <c r="G250">
        <v>5</v>
      </c>
      <c r="H250">
        <v>2</v>
      </c>
      <c r="I250" s="1" t="s">
        <v>1546</v>
      </c>
      <c r="J250" s="1" t="s">
        <v>1547</v>
      </c>
      <c r="K250" s="1" t="s">
        <v>1548</v>
      </c>
    </row>
    <row r="251" spans="1:11" ht="60" x14ac:dyDescent="0.25">
      <c r="A251" t="s">
        <v>1549</v>
      </c>
      <c r="B251" t="s">
        <v>65</v>
      </c>
      <c r="C251" t="s">
        <v>1550</v>
      </c>
      <c r="D251" t="s">
        <v>1551</v>
      </c>
      <c r="E251" t="s">
        <v>698</v>
      </c>
      <c r="F251">
        <v>1</v>
      </c>
      <c r="G251">
        <v>2</v>
      </c>
      <c r="H251">
        <v>1</v>
      </c>
      <c r="I251" s="1" t="s">
        <v>1552</v>
      </c>
      <c r="J251" s="1" t="s">
        <v>1553</v>
      </c>
      <c r="K251" s="1" t="s">
        <v>1554</v>
      </c>
    </row>
    <row r="252" spans="1:11" ht="135" x14ac:dyDescent="0.25">
      <c r="A252" t="s">
        <v>1555</v>
      </c>
      <c r="B252" t="s">
        <v>65</v>
      </c>
      <c r="C252" t="s">
        <v>1556</v>
      </c>
      <c r="D252" t="s">
        <v>1557</v>
      </c>
      <c r="E252" t="s">
        <v>1558</v>
      </c>
      <c r="F252">
        <v>4</v>
      </c>
      <c r="G252">
        <v>6</v>
      </c>
      <c r="H252">
        <v>3</v>
      </c>
      <c r="I252" s="1" t="s">
        <v>1559</v>
      </c>
      <c r="J252" s="1" t="s">
        <v>1560</v>
      </c>
      <c r="K252" s="1" t="s">
        <v>1561</v>
      </c>
    </row>
    <row r="253" spans="1:11" ht="45" x14ac:dyDescent="0.25">
      <c r="A253" t="s">
        <v>1562</v>
      </c>
      <c r="B253" t="s">
        <v>65</v>
      </c>
      <c r="C253" t="s">
        <v>1563</v>
      </c>
      <c r="D253" t="s">
        <v>741</v>
      </c>
      <c r="E253" t="s">
        <v>742</v>
      </c>
      <c r="F253">
        <v>1</v>
      </c>
      <c r="G253">
        <v>1</v>
      </c>
      <c r="H253">
        <v>0</v>
      </c>
      <c r="I253" s="1" t="s">
        <v>68</v>
      </c>
      <c r="J253" s="1" t="s">
        <v>1564</v>
      </c>
    </row>
    <row r="254" spans="1:11" ht="45" x14ac:dyDescent="0.25">
      <c r="A254" t="s">
        <v>1565</v>
      </c>
      <c r="B254" t="s">
        <v>65</v>
      </c>
      <c r="C254" t="s">
        <v>1566</v>
      </c>
      <c r="D254" t="s">
        <v>1567</v>
      </c>
      <c r="E254" t="s">
        <v>150</v>
      </c>
      <c r="F254">
        <v>1</v>
      </c>
      <c r="G254">
        <v>1</v>
      </c>
      <c r="H254">
        <v>0</v>
      </c>
      <c r="I254" s="1" t="s">
        <v>68</v>
      </c>
      <c r="J254" s="1" t="s">
        <v>498</v>
      </c>
    </row>
    <row r="255" spans="1:11" ht="45" x14ac:dyDescent="0.25">
      <c r="A255" t="s">
        <v>1568</v>
      </c>
      <c r="B255" t="s">
        <v>65</v>
      </c>
      <c r="C255" t="s">
        <v>1569</v>
      </c>
      <c r="D255" t="s">
        <v>784</v>
      </c>
      <c r="E255" t="s">
        <v>784</v>
      </c>
      <c r="F255">
        <v>2</v>
      </c>
      <c r="G255">
        <v>2</v>
      </c>
      <c r="H255">
        <v>1</v>
      </c>
      <c r="I255" s="1" t="s">
        <v>1570</v>
      </c>
      <c r="J255" s="1" t="s">
        <v>1571</v>
      </c>
      <c r="K255" s="1" t="s">
        <v>1572</v>
      </c>
    </row>
    <row r="256" spans="1:11" ht="210" x14ac:dyDescent="0.25">
      <c r="A256" t="s">
        <v>1573</v>
      </c>
      <c r="B256" t="s">
        <v>65</v>
      </c>
      <c r="C256" t="s">
        <v>1574</v>
      </c>
      <c r="D256" t="s">
        <v>1575</v>
      </c>
      <c r="E256" t="s">
        <v>1576</v>
      </c>
      <c r="F256">
        <v>5</v>
      </c>
      <c r="G256">
        <v>6</v>
      </c>
      <c r="H256">
        <v>5</v>
      </c>
      <c r="I256" s="1" t="s">
        <v>1577</v>
      </c>
      <c r="J256" s="1" t="s">
        <v>1578</v>
      </c>
      <c r="K256" s="1" t="s">
        <v>1579</v>
      </c>
    </row>
    <row r="257" spans="1:11" ht="150" x14ac:dyDescent="0.25">
      <c r="A257" t="s">
        <v>1580</v>
      </c>
      <c r="B257" t="s">
        <v>65</v>
      </c>
      <c r="C257" t="s">
        <v>1581</v>
      </c>
      <c r="D257" t="s">
        <v>1582</v>
      </c>
      <c r="E257" t="s">
        <v>1583</v>
      </c>
      <c r="F257">
        <v>4</v>
      </c>
      <c r="G257">
        <v>4</v>
      </c>
      <c r="H257">
        <v>2</v>
      </c>
      <c r="I257" s="1" t="s">
        <v>1584</v>
      </c>
      <c r="J257" s="1" t="s">
        <v>1585</v>
      </c>
      <c r="K257" s="1" t="s">
        <v>1586</v>
      </c>
    </row>
    <row r="258" spans="1:11" ht="45" x14ac:dyDescent="0.25">
      <c r="A258" t="s">
        <v>1587</v>
      </c>
      <c r="B258" t="s">
        <v>119</v>
      </c>
      <c r="C258" t="s">
        <v>1588</v>
      </c>
      <c r="D258" t="s">
        <v>1589</v>
      </c>
      <c r="E258" t="s">
        <v>1221</v>
      </c>
      <c r="F258">
        <v>1</v>
      </c>
      <c r="G258">
        <v>1</v>
      </c>
      <c r="H258">
        <v>0</v>
      </c>
      <c r="I258" s="1" t="s">
        <v>68</v>
      </c>
      <c r="J258" s="1" t="s">
        <v>1590</v>
      </c>
    </row>
    <row r="259" spans="1:11" ht="90" x14ac:dyDescent="0.25">
      <c r="A259" t="s">
        <v>1591</v>
      </c>
      <c r="B259" t="s">
        <v>119</v>
      </c>
      <c r="C259" t="s">
        <v>1592</v>
      </c>
      <c r="D259" t="s">
        <v>1593</v>
      </c>
      <c r="E259" t="s">
        <v>1593</v>
      </c>
      <c r="F259">
        <v>2</v>
      </c>
      <c r="G259">
        <v>2</v>
      </c>
      <c r="H259">
        <v>1</v>
      </c>
      <c r="I259" s="1" t="s">
        <v>1594</v>
      </c>
      <c r="J259" s="1" t="s">
        <v>1595</v>
      </c>
      <c r="K259" s="1" t="s">
        <v>1596</v>
      </c>
    </row>
    <row r="260" spans="1:11" ht="105" x14ac:dyDescent="0.25">
      <c r="A260" t="s">
        <v>1597</v>
      </c>
      <c r="B260" t="s">
        <v>65</v>
      </c>
      <c r="D260" t="s">
        <v>1598</v>
      </c>
      <c r="E260" t="s">
        <v>1599</v>
      </c>
      <c r="F260">
        <v>3</v>
      </c>
      <c r="G260">
        <v>4</v>
      </c>
      <c r="H260">
        <v>2</v>
      </c>
      <c r="I260" s="1" t="s">
        <v>1600</v>
      </c>
      <c r="J260" s="1" t="s">
        <v>1601</v>
      </c>
      <c r="K260" s="1" t="s">
        <v>1602</v>
      </c>
    </row>
    <row r="261" spans="1:11" ht="120" x14ac:dyDescent="0.25">
      <c r="A261" t="s">
        <v>1603</v>
      </c>
      <c r="B261" t="s">
        <v>65</v>
      </c>
      <c r="D261" t="s">
        <v>1604</v>
      </c>
      <c r="E261" t="s">
        <v>553</v>
      </c>
      <c r="F261">
        <v>3</v>
      </c>
      <c r="G261">
        <v>4</v>
      </c>
      <c r="H261">
        <v>1</v>
      </c>
      <c r="I261" s="1" t="s">
        <v>1605</v>
      </c>
      <c r="J261" s="1" t="s">
        <v>1606</v>
      </c>
      <c r="K261" s="1" t="s">
        <v>1607</v>
      </c>
    </row>
    <row r="262" spans="1:11" ht="120" x14ac:dyDescent="0.25">
      <c r="A262" t="s">
        <v>1608</v>
      </c>
      <c r="B262" t="s">
        <v>65</v>
      </c>
      <c r="C262" t="s">
        <v>1609</v>
      </c>
      <c r="D262" t="s">
        <v>1610</v>
      </c>
      <c r="E262" t="s">
        <v>1611</v>
      </c>
      <c r="F262">
        <v>4</v>
      </c>
      <c r="G262">
        <v>5</v>
      </c>
      <c r="H262">
        <v>3</v>
      </c>
      <c r="I262" s="1" t="s">
        <v>1612</v>
      </c>
      <c r="J262" s="1" t="s">
        <v>1613</v>
      </c>
      <c r="K262" s="1" t="s">
        <v>1614</v>
      </c>
    </row>
    <row r="263" spans="1:11" ht="90" x14ac:dyDescent="0.25">
      <c r="A263" t="s">
        <v>1615</v>
      </c>
      <c r="B263" t="s">
        <v>119</v>
      </c>
      <c r="C263" t="s">
        <v>1616</v>
      </c>
      <c r="D263" t="s">
        <v>1617</v>
      </c>
      <c r="E263" t="s">
        <v>1618</v>
      </c>
      <c r="F263">
        <v>2</v>
      </c>
      <c r="G263">
        <v>2</v>
      </c>
      <c r="H263">
        <v>1</v>
      </c>
      <c r="I263" s="1" t="s">
        <v>1619</v>
      </c>
      <c r="J263" s="1" t="s">
        <v>1620</v>
      </c>
      <c r="K263" s="1" t="s">
        <v>1621</v>
      </c>
    </row>
    <row r="264" spans="1:11" ht="60" x14ac:dyDescent="0.25">
      <c r="A264" t="s">
        <v>1622</v>
      </c>
      <c r="B264" t="s">
        <v>119</v>
      </c>
      <c r="C264" t="s">
        <v>1623</v>
      </c>
      <c r="D264" t="s">
        <v>1624</v>
      </c>
      <c r="E264" t="s">
        <v>1625</v>
      </c>
      <c r="F264">
        <v>2</v>
      </c>
      <c r="G264">
        <v>3</v>
      </c>
      <c r="H264">
        <v>1</v>
      </c>
      <c r="I264" s="1" t="s">
        <v>1626</v>
      </c>
      <c r="J264" s="1" t="s">
        <v>1627</v>
      </c>
      <c r="K264" s="1" t="s">
        <v>1628</v>
      </c>
    </row>
    <row r="265" spans="1:11" ht="120" x14ac:dyDescent="0.25">
      <c r="A265" t="s">
        <v>1629</v>
      </c>
      <c r="B265" t="s">
        <v>119</v>
      </c>
      <c r="C265" t="s">
        <v>1630</v>
      </c>
      <c r="D265" t="s">
        <v>1631</v>
      </c>
      <c r="E265" t="s">
        <v>1632</v>
      </c>
      <c r="F265">
        <v>4</v>
      </c>
      <c r="G265">
        <v>4</v>
      </c>
      <c r="H265">
        <v>3</v>
      </c>
      <c r="I265" s="1" t="s">
        <v>1633</v>
      </c>
      <c r="J265" s="1" t="s">
        <v>1634</v>
      </c>
      <c r="K265" s="1" t="s">
        <v>1635</v>
      </c>
    </row>
    <row r="266" spans="1:11" ht="180" x14ac:dyDescent="0.25">
      <c r="A266" t="s">
        <v>1636</v>
      </c>
      <c r="B266" t="s">
        <v>119</v>
      </c>
      <c r="C266" t="s">
        <v>1637</v>
      </c>
      <c r="D266" t="s">
        <v>1638</v>
      </c>
      <c r="E266" t="s">
        <v>1639</v>
      </c>
      <c r="F266">
        <v>5</v>
      </c>
      <c r="G266">
        <v>7</v>
      </c>
      <c r="H266">
        <v>4</v>
      </c>
      <c r="I266" s="1" t="s">
        <v>1640</v>
      </c>
      <c r="J266" s="1" t="s">
        <v>1641</v>
      </c>
      <c r="K266" s="1" t="s">
        <v>1642</v>
      </c>
    </row>
    <row r="267" spans="1:11" ht="195" x14ac:dyDescent="0.25">
      <c r="A267" t="s">
        <v>1643</v>
      </c>
      <c r="B267" t="s">
        <v>119</v>
      </c>
      <c r="C267" t="s">
        <v>1644</v>
      </c>
      <c r="D267" t="s">
        <v>1645</v>
      </c>
      <c r="E267" t="s">
        <v>1646</v>
      </c>
      <c r="F267">
        <v>6</v>
      </c>
      <c r="G267">
        <v>6</v>
      </c>
      <c r="H267">
        <v>3</v>
      </c>
      <c r="I267" s="1" t="s">
        <v>1647</v>
      </c>
      <c r="J267" s="1" t="s">
        <v>1648</v>
      </c>
      <c r="K267" s="1" t="s">
        <v>1649</v>
      </c>
    </row>
    <row r="268" spans="1:11" ht="75" x14ac:dyDescent="0.25">
      <c r="A268" t="s">
        <v>1650</v>
      </c>
      <c r="B268" t="s">
        <v>119</v>
      </c>
      <c r="C268" t="s">
        <v>1651</v>
      </c>
      <c r="D268" t="s">
        <v>1652</v>
      </c>
      <c r="E268" t="s">
        <v>1653</v>
      </c>
      <c r="F268">
        <v>3</v>
      </c>
      <c r="G268">
        <v>4</v>
      </c>
      <c r="H268">
        <v>2</v>
      </c>
      <c r="I268" s="1" t="s">
        <v>1654</v>
      </c>
      <c r="J268" s="1" t="s">
        <v>1655</v>
      </c>
      <c r="K268" s="1" t="s">
        <v>1656</v>
      </c>
    </row>
    <row r="269" spans="1:11" ht="75" x14ac:dyDescent="0.25">
      <c r="A269" t="s">
        <v>1657</v>
      </c>
      <c r="B269" t="s">
        <v>119</v>
      </c>
      <c r="C269" t="s">
        <v>1658</v>
      </c>
      <c r="D269" t="s">
        <v>1659</v>
      </c>
      <c r="E269" t="s">
        <v>1660</v>
      </c>
      <c r="F269">
        <v>2</v>
      </c>
      <c r="G269">
        <v>3</v>
      </c>
      <c r="H269">
        <v>2</v>
      </c>
      <c r="I269" s="1" t="s">
        <v>1661</v>
      </c>
      <c r="J269" s="1" t="s">
        <v>1662</v>
      </c>
      <c r="K269" s="1" t="s">
        <v>1663</v>
      </c>
    </row>
    <row r="270" spans="1:11" ht="150" x14ac:dyDescent="0.25">
      <c r="A270" t="s">
        <v>1664</v>
      </c>
      <c r="B270" t="s">
        <v>119</v>
      </c>
      <c r="C270" t="s">
        <v>1665</v>
      </c>
      <c r="D270" t="s">
        <v>1666</v>
      </c>
      <c r="E270" t="s">
        <v>1667</v>
      </c>
      <c r="F270">
        <v>4</v>
      </c>
      <c r="G270">
        <v>4</v>
      </c>
      <c r="H270">
        <v>3</v>
      </c>
      <c r="I270" s="1" t="s">
        <v>1668</v>
      </c>
      <c r="J270" s="1" t="s">
        <v>1669</v>
      </c>
      <c r="K270" s="1" t="s">
        <v>1670</v>
      </c>
    </row>
    <row r="271" spans="1:11" ht="165" x14ac:dyDescent="0.25">
      <c r="A271" t="s">
        <v>1671</v>
      </c>
      <c r="B271" t="s">
        <v>119</v>
      </c>
      <c r="C271" t="s">
        <v>1672</v>
      </c>
      <c r="D271" t="s">
        <v>1673</v>
      </c>
      <c r="E271" t="s">
        <v>1674</v>
      </c>
      <c r="F271">
        <v>4</v>
      </c>
      <c r="G271">
        <v>6</v>
      </c>
      <c r="H271">
        <v>3</v>
      </c>
      <c r="I271" s="1" t="s">
        <v>1675</v>
      </c>
      <c r="J271" s="1" t="s">
        <v>1676</v>
      </c>
      <c r="K271" s="1" t="s">
        <v>1677</v>
      </c>
    </row>
    <row r="272" spans="1:11" ht="75" x14ac:dyDescent="0.25">
      <c r="A272" t="s">
        <v>1678</v>
      </c>
      <c r="B272" t="s">
        <v>119</v>
      </c>
      <c r="C272" t="s">
        <v>1679</v>
      </c>
      <c r="D272" t="s">
        <v>1680</v>
      </c>
      <c r="E272" t="s">
        <v>1681</v>
      </c>
      <c r="F272">
        <v>3</v>
      </c>
      <c r="G272">
        <v>3</v>
      </c>
      <c r="H272">
        <v>2</v>
      </c>
      <c r="I272" s="1" t="s">
        <v>1682</v>
      </c>
      <c r="J272" s="1" t="s">
        <v>1683</v>
      </c>
      <c r="K272" s="1" t="s">
        <v>1684</v>
      </c>
    </row>
    <row r="273" spans="1:11" ht="90" x14ac:dyDescent="0.25">
      <c r="A273" t="s">
        <v>1685</v>
      </c>
      <c r="B273" t="s">
        <v>119</v>
      </c>
      <c r="C273" t="s">
        <v>1686</v>
      </c>
      <c r="D273" t="s">
        <v>1687</v>
      </c>
      <c r="E273" t="s">
        <v>712</v>
      </c>
      <c r="F273">
        <v>2</v>
      </c>
      <c r="G273">
        <v>2</v>
      </c>
      <c r="H273">
        <v>1</v>
      </c>
      <c r="I273" s="1" t="s">
        <v>597</v>
      </c>
      <c r="J273" s="1" t="s">
        <v>1688</v>
      </c>
      <c r="K273" s="1" t="s">
        <v>842</v>
      </c>
    </row>
    <row r="274" spans="1:11" ht="75" x14ac:dyDescent="0.25">
      <c r="A274" t="s">
        <v>1689</v>
      </c>
      <c r="B274" t="s">
        <v>119</v>
      </c>
      <c r="C274" t="e">
        <f>- there are more information shown - you need more time to understand what this chart shows</f>
        <v>#NAME?</v>
      </c>
      <c r="D274" t="s">
        <v>1690</v>
      </c>
      <c r="E274" t="s">
        <v>637</v>
      </c>
      <c r="F274">
        <v>2</v>
      </c>
      <c r="G274">
        <v>2</v>
      </c>
      <c r="H274">
        <v>1</v>
      </c>
      <c r="I274" s="1" t="s">
        <v>1691</v>
      </c>
      <c r="J274" s="1" t="s">
        <v>1692</v>
      </c>
      <c r="K274" s="1" t="s">
        <v>1693</v>
      </c>
    </row>
    <row r="275" spans="1:11" ht="135" x14ac:dyDescent="0.25">
      <c r="A275" t="s">
        <v>1694</v>
      </c>
      <c r="B275" t="s">
        <v>119</v>
      </c>
      <c r="C275" t="s">
        <v>1695</v>
      </c>
      <c r="D275" t="s">
        <v>1696</v>
      </c>
      <c r="E275" t="s">
        <v>553</v>
      </c>
      <c r="F275">
        <v>3</v>
      </c>
      <c r="G275">
        <v>2</v>
      </c>
      <c r="H275">
        <v>2</v>
      </c>
      <c r="I275" s="1" t="s">
        <v>1697</v>
      </c>
      <c r="J275" s="1" t="s">
        <v>1698</v>
      </c>
      <c r="K275" s="1" t="s">
        <v>1699</v>
      </c>
    </row>
    <row r="276" spans="1:11" ht="45" x14ac:dyDescent="0.25">
      <c r="A276" t="s">
        <v>1700</v>
      </c>
      <c r="B276" t="s">
        <v>119</v>
      </c>
      <c r="C276" t="s">
        <v>1701</v>
      </c>
      <c r="D276" t="s">
        <v>1437</v>
      </c>
      <c r="E276" t="s">
        <v>150</v>
      </c>
      <c r="F276">
        <v>1</v>
      </c>
      <c r="G276">
        <v>1</v>
      </c>
      <c r="H276">
        <v>0</v>
      </c>
      <c r="I276" s="1" t="s">
        <v>68</v>
      </c>
      <c r="J276" s="1" t="s">
        <v>1702</v>
      </c>
    </row>
    <row r="277" spans="1:11" ht="75" x14ac:dyDescent="0.25">
      <c r="A277" t="s">
        <v>1703</v>
      </c>
      <c r="B277" t="s">
        <v>119</v>
      </c>
      <c r="C277" t="s">
        <v>1704</v>
      </c>
      <c r="D277" t="s">
        <v>1705</v>
      </c>
      <c r="E277" t="s">
        <v>1706</v>
      </c>
      <c r="F277">
        <v>2</v>
      </c>
      <c r="G277">
        <v>2</v>
      </c>
      <c r="H277">
        <v>1</v>
      </c>
      <c r="I277" s="1" t="s">
        <v>1707</v>
      </c>
      <c r="J277" s="1" t="s">
        <v>1708</v>
      </c>
      <c r="K277" s="1" t="s">
        <v>1709</v>
      </c>
    </row>
    <row r="278" spans="1:11" ht="90" x14ac:dyDescent="0.25">
      <c r="A278" t="s">
        <v>1710</v>
      </c>
      <c r="B278" t="s">
        <v>119</v>
      </c>
      <c r="C278" t="s">
        <v>1711</v>
      </c>
      <c r="D278" t="s">
        <v>1712</v>
      </c>
      <c r="E278" t="s">
        <v>1713</v>
      </c>
      <c r="F278">
        <v>2</v>
      </c>
      <c r="G278">
        <v>3</v>
      </c>
      <c r="H278">
        <v>1</v>
      </c>
      <c r="I278" s="1" t="s">
        <v>1691</v>
      </c>
      <c r="J278" s="1" t="s">
        <v>1714</v>
      </c>
      <c r="K278" s="1" t="s">
        <v>1715</v>
      </c>
    </row>
    <row r="279" spans="1:11" ht="45" x14ac:dyDescent="0.25">
      <c r="A279" t="s">
        <v>1716</v>
      </c>
      <c r="B279" t="s">
        <v>119</v>
      </c>
      <c r="C279" t="s">
        <v>1717</v>
      </c>
      <c r="D279" t="s">
        <v>591</v>
      </c>
      <c r="E279" t="s">
        <v>150</v>
      </c>
      <c r="F279">
        <v>1</v>
      </c>
      <c r="G279">
        <v>1</v>
      </c>
      <c r="H279">
        <v>0</v>
      </c>
      <c r="I279" s="1" t="s">
        <v>68</v>
      </c>
      <c r="J279" s="1" t="s">
        <v>1438</v>
      </c>
    </row>
    <row r="280" spans="1:11" ht="90" x14ac:dyDescent="0.25">
      <c r="A280" t="s">
        <v>1718</v>
      </c>
      <c r="B280" t="s">
        <v>119</v>
      </c>
      <c r="C280" t="s">
        <v>1719</v>
      </c>
      <c r="D280" t="s">
        <v>1720</v>
      </c>
      <c r="E280" t="s">
        <v>1721</v>
      </c>
      <c r="F280">
        <v>3</v>
      </c>
      <c r="G280">
        <v>3</v>
      </c>
      <c r="H280">
        <v>2</v>
      </c>
      <c r="I280" s="1" t="s">
        <v>1722</v>
      </c>
      <c r="J280" s="1" t="s">
        <v>1723</v>
      </c>
      <c r="K280" s="1" t="s">
        <v>1724</v>
      </c>
    </row>
    <row r="281" spans="1:11" ht="75" x14ac:dyDescent="0.25">
      <c r="A281" t="s">
        <v>1725</v>
      </c>
      <c r="B281" t="s">
        <v>119</v>
      </c>
      <c r="C281" t="s">
        <v>1726</v>
      </c>
      <c r="D281" t="s">
        <v>1727</v>
      </c>
      <c r="E281" t="s">
        <v>1728</v>
      </c>
      <c r="F281">
        <v>2</v>
      </c>
      <c r="G281">
        <v>3</v>
      </c>
      <c r="H281">
        <v>1</v>
      </c>
      <c r="I281" s="1" t="s">
        <v>1729</v>
      </c>
      <c r="J281" s="1" t="s">
        <v>1730</v>
      </c>
      <c r="K281" s="1" t="s">
        <v>1731</v>
      </c>
    </row>
    <row r="282" spans="1:11" ht="75" x14ac:dyDescent="0.25">
      <c r="A282" t="s">
        <v>1732</v>
      </c>
      <c r="B282" t="s">
        <v>119</v>
      </c>
      <c r="C282" t="s">
        <v>1733</v>
      </c>
      <c r="D282" t="s">
        <v>1734</v>
      </c>
      <c r="E282" t="s">
        <v>1288</v>
      </c>
      <c r="F282">
        <v>2</v>
      </c>
      <c r="G282">
        <v>2</v>
      </c>
      <c r="H282">
        <v>1</v>
      </c>
      <c r="I282" s="1" t="s">
        <v>1735</v>
      </c>
      <c r="J282" s="1" t="s">
        <v>1736</v>
      </c>
      <c r="K282" s="1" t="s">
        <v>1737</v>
      </c>
    </row>
    <row r="283" spans="1:11" ht="75" x14ac:dyDescent="0.25">
      <c r="A283" t="s">
        <v>1738</v>
      </c>
      <c r="B283" t="s">
        <v>119</v>
      </c>
      <c r="C283" t="s">
        <v>1739</v>
      </c>
      <c r="D283" t="s">
        <v>1740</v>
      </c>
      <c r="E283" t="s">
        <v>839</v>
      </c>
      <c r="F283">
        <v>2</v>
      </c>
      <c r="G283">
        <v>3</v>
      </c>
      <c r="H283">
        <v>2</v>
      </c>
      <c r="I283" s="1" t="s">
        <v>638</v>
      </c>
      <c r="J283" s="1" t="s">
        <v>1741</v>
      </c>
      <c r="K283" s="1" t="s">
        <v>1742</v>
      </c>
    </row>
    <row r="284" spans="1:11" ht="240" x14ac:dyDescent="0.25">
      <c r="A284" t="s">
        <v>1743</v>
      </c>
      <c r="B284" t="s">
        <v>119</v>
      </c>
      <c r="C284" t="s">
        <v>1744</v>
      </c>
      <c r="D284" t="s">
        <v>1745</v>
      </c>
      <c r="E284" t="s">
        <v>1746</v>
      </c>
      <c r="F284">
        <v>6</v>
      </c>
      <c r="G284">
        <v>10</v>
      </c>
      <c r="H284">
        <v>4</v>
      </c>
      <c r="I284" s="1" t="s">
        <v>1747</v>
      </c>
      <c r="J284" s="1" t="s">
        <v>1748</v>
      </c>
      <c r="K284" s="1" t="s">
        <v>1749</v>
      </c>
    </row>
    <row r="285" spans="1:11" ht="135" x14ac:dyDescent="0.25">
      <c r="A285" t="s">
        <v>1750</v>
      </c>
      <c r="B285" t="s">
        <v>119</v>
      </c>
      <c r="C285" t="s">
        <v>1751</v>
      </c>
      <c r="D285" t="s">
        <v>1752</v>
      </c>
      <c r="E285" t="s">
        <v>1753</v>
      </c>
      <c r="F285">
        <v>3</v>
      </c>
      <c r="G285">
        <v>4</v>
      </c>
      <c r="H285">
        <v>2</v>
      </c>
      <c r="I285" s="1" t="s">
        <v>1754</v>
      </c>
      <c r="J285" s="1" t="s">
        <v>1755</v>
      </c>
      <c r="K285" s="1" t="s">
        <v>1756</v>
      </c>
    </row>
    <row r="286" spans="1:11" ht="90" x14ac:dyDescent="0.25">
      <c r="A286" t="s">
        <v>1757</v>
      </c>
      <c r="B286" t="s">
        <v>119</v>
      </c>
      <c r="C286" t="s">
        <v>1758</v>
      </c>
      <c r="D286" t="s">
        <v>1759</v>
      </c>
      <c r="E286" t="s">
        <v>742</v>
      </c>
      <c r="F286">
        <v>2</v>
      </c>
      <c r="G286">
        <v>1</v>
      </c>
      <c r="H286">
        <v>1</v>
      </c>
      <c r="I286" s="1" t="s">
        <v>1760</v>
      </c>
      <c r="J286" s="1" t="s">
        <v>1761</v>
      </c>
      <c r="K286" s="1" t="s">
        <v>1762</v>
      </c>
    </row>
    <row r="287" spans="1:11" ht="75" x14ac:dyDescent="0.25">
      <c r="A287" t="s">
        <v>1763</v>
      </c>
      <c r="B287" t="s">
        <v>119</v>
      </c>
      <c r="C287" t="s">
        <v>1234</v>
      </c>
      <c r="D287" t="s">
        <v>1220</v>
      </c>
      <c r="E287" t="s">
        <v>1221</v>
      </c>
      <c r="F287">
        <v>2</v>
      </c>
      <c r="G287">
        <v>1</v>
      </c>
      <c r="H287">
        <v>1</v>
      </c>
      <c r="I287" s="1" t="s">
        <v>932</v>
      </c>
      <c r="J287" s="1" t="s">
        <v>1222</v>
      </c>
      <c r="K287" s="1" t="s">
        <v>1223</v>
      </c>
    </row>
    <row r="288" spans="1:11" ht="45" x14ac:dyDescent="0.25">
      <c r="A288" t="s">
        <v>1764</v>
      </c>
      <c r="B288" t="s">
        <v>119</v>
      </c>
      <c r="C288" t="s">
        <v>1765</v>
      </c>
      <c r="D288" t="s">
        <v>1766</v>
      </c>
      <c r="E288" t="s">
        <v>742</v>
      </c>
      <c r="F288">
        <v>1</v>
      </c>
      <c r="G288">
        <v>1</v>
      </c>
      <c r="H288">
        <v>0</v>
      </c>
      <c r="I288" s="1" t="s">
        <v>68</v>
      </c>
      <c r="J288" s="1" t="s">
        <v>1767</v>
      </c>
    </row>
    <row r="289" spans="1:11" ht="45" x14ac:dyDescent="0.25">
      <c r="A289" t="s">
        <v>1768</v>
      </c>
      <c r="B289" t="s">
        <v>119</v>
      </c>
      <c r="C289" t="s">
        <v>1769</v>
      </c>
      <c r="D289" t="s">
        <v>1770</v>
      </c>
      <c r="E289" t="s">
        <v>244</v>
      </c>
      <c r="F289">
        <v>1</v>
      </c>
      <c r="G289">
        <v>1</v>
      </c>
      <c r="H289">
        <v>0</v>
      </c>
      <c r="I289" s="1" t="s">
        <v>68</v>
      </c>
      <c r="J289" s="1" t="s">
        <v>1771</v>
      </c>
    </row>
    <row r="290" spans="1:11" ht="105" x14ac:dyDescent="0.25">
      <c r="A290" t="s">
        <v>1772</v>
      </c>
      <c r="B290" t="s">
        <v>119</v>
      </c>
      <c r="C290" t="s">
        <v>1773</v>
      </c>
      <c r="D290" t="s">
        <v>1774</v>
      </c>
      <c r="E290" t="s">
        <v>1775</v>
      </c>
      <c r="F290">
        <v>4</v>
      </c>
      <c r="G290">
        <v>3</v>
      </c>
      <c r="H290">
        <v>2</v>
      </c>
      <c r="I290" s="1" t="s">
        <v>1776</v>
      </c>
      <c r="J290" s="1" t="s">
        <v>1777</v>
      </c>
      <c r="K290" s="1" t="s">
        <v>1778</v>
      </c>
    </row>
    <row r="291" spans="1:11" ht="45" x14ac:dyDescent="0.25">
      <c r="A291" t="s">
        <v>1779</v>
      </c>
      <c r="B291" t="s">
        <v>119</v>
      </c>
      <c r="C291" t="s">
        <v>1780</v>
      </c>
      <c r="D291" t="s">
        <v>647</v>
      </c>
      <c r="E291" t="s">
        <v>150</v>
      </c>
      <c r="F291">
        <v>1</v>
      </c>
      <c r="G291">
        <v>1</v>
      </c>
      <c r="H291">
        <v>0</v>
      </c>
      <c r="I291" s="1" t="s">
        <v>68</v>
      </c>
      <c r="J291" s="1" t="s">
        <v>1781</v>
      </c>
    </row>
    <row r="292" spans="1:11" ht="240" x14ac:dyDescent="0.25">
      <c r="A292" t="s">
        <v>1782</v>
      </c>
      <c r="B292" t="s">
        <v>119</v>
      </c>
      <c r="C292" t="s">
        <v>1783</v>
      </c>
      <c r="D292" t="s">
        <v>1784</v>
      </c>
      <c r="E292" t="s">
        <v>1785</v>
      </c>
      <c r="F292">
        <v>6</v>
      </c>
      <c r="G292">
        <v>11</v>
      </c>
      <c r="H292">
        <v>4</v>
      </c>
      <c r="I292" s="1" t="s">
        <v>1786</v>
      </c>
      <c r="J292" s="1" t="s">
        <v>1787</v>
      </c>
      <c r="K292" s="1" t="s">
        <v>1788</v>
      </c>
    </row>
    <row r="293" spans="1:11" ht="45" x14ac:dyDescent="0.25">
      <c r="A293" t="s">
        <v>1789</v>
      </c>
      <c r="B293" t="s">
        <v>119</v>
      </c>
      <c r="C293" t="s">
        <v>1790</v>
      </c>
      <c r="D293" t="s">
        <v>697</v>
      </c>
      <c r="E293" t="s">
        <v>698</v>
      </c>
      <c r="F293">
        <v>2</v>
      </c>
      <c r="G293">
        <v>1</v>
      </c>
      <c r="H293">
        <v>1</v>
      </c>
      <c r="I293" s="1" t="s">
        <v>1791</v>
      </c>
      <c r="J293" s="1" t="s">
        <v>1792</v>
      </c>
      <c r="K293" s="1" t="s">
        <v>1793</v>
      </c>
    </row>
    <row r="294" spans="1:11" ht="105" x14ac:dyDescent="0.25">
      <c r="A294" t="s">
        <v>1794</v>
      </c>
      <c r="B294" t="s">
        <v>119</v>
      </c>
      <c r="C294" t="s">
        <v>1795</v>
      </c>
      <c r="D294" t="s">
        <v>1796</v>
      </c>
      <c r="E294" t="s">
        <v>1797</v>
      </c>
      <c r="F294">
        <v>3</v>
      </c>
      <c r="G294">
        <v>3</v>
      </c>
      <c r="H294">
        <v>2</v>
      </c>
      <c r="I294" s="1" t="s">
        <v>1798</v>
      </c>
      <c r="J294" s="1" t="s">
        <v>1799</v>
      </c>
      <c r="K294" s="1" t="s">
        <v>1800</v>
      </c>
    </row>
    <row r="295" spans="1:11" ht="75" x14ac:dyDescent="0.25">
      <c r="A295" t="s">
        <v>1801</v>
      </c>
      <c r="B295" t="s">
        <v>119</v>
      </c>
      <c r="C295" t="s">
        <v>1802</v>
      </c>
      <c r="D295" t="s">
        <v>1803</v>
      </c>
      <c r="E295" t="s">
        <v>1221</v>
      </c>
      <c r="F295">
        <v>2</v>
      </c>
      <c r="G295">
        <v>2</v>
      </c>
      <c r="H295">
        <v>1</v>
      </c>
      <c r="I295" s="1" t="s">
        <v>797</v>
      </c>
      <c r="J295" s="1" t="s">
        <v>1804</v>
      </c>
      <c r="K295" s="1" t="s">
        <v>1805</v>
      </c>
    </row>
    <row r="296" spans="1:11" ht="30" x14ac:dyDescent="0.25">
      <c r="A296" t="s">
        <v>1806</v>
      </c>
      <c r="B296" t="s">
        <v>119</v>
      </c>
      <c r="C296" t="s">
        <v>1807</v>
      </c>
      <c r="D296" t="s">
        <v>1808</v>
      </c>
      <c r="E296" t="s">
        <v>1221</v>
      </c>
      <c r="F296">
        <v>1</v>
      </c>
      <c r="G296">
        <v>1</v>
      </c>
      <c r="H296">
        <v>0</v>
      </c>
      <c r="I296" s="1" t="s">
        <v>1809</v>
      </c>
      <c r="J296" s="1" t="s">
        <v>1810</v>
      </c>
    </row>
    <row r="297" spans="1:11" ht="45" x14ac:dyDescent="0.25">
      <c r="A297" t="s">
        <v>1811</v>
      </c>
      <c r="B297" t="s">
        <v>119</v>
      </c>
      <c r="C297" t="s">
        <v>1812</v>
      </c>
      <c r="D297" t="s">
        <v>1813</v>
      </c>
      <c r="E297" t="s">
        <v>244</v>
      </c>
      <c r="F297">
        <v>1</v>
      </c>
      <c r="G297">
        <v>1</v>
      </c>
      <c r="H297">
        <v>0</v>
      </c>
      <c r="I297" s="1" t="s">
        <v>68</v>
      </c>
      <c r="J297" s="1" t="s">
        <v>1814</v>
      </c>
    </row>
    <row r="298" spans="1:11" ht="180" x14ac:dyDescent="0.25">
      <c r="A298" t="s">
        <v>1815</v>
      </c>
      <c r="B298" t="s">
        <v>119</v>
      </c>
      <c r="C298" t="s">
        <v>1816</v>
      </c>
      <c r="D298" t="s">
        <v>1817</v>
      </c>
      <c r="E298" t="s">
        <v>1818</v>
      </c>
      <c r="F298">
        <v>5</v>
      </c>
      <c r="G298">
        <v>6</v>
      </c>
      <c r="H298">
        <v>3</v>
      </c>
      <c r="I298" s="1" t="s">
        <v>1819</v>
      </c>
      <c r="J298" s="1" t="s">
        <v>1820</v>
      </c>
      <c r="K298" s="1" t="s">
        <v>1821</v>
      </c>
    </row>
    <row r="299" spans="1:11" ht="120" x14ac:dyDescent="0.25">
      <c r="A299" t="s">
        <v>1822</v>
      </c>
      <c r="B299" t="s">
        <v>119</v>
      </c>
      <c r="C299" t="s">
        <v>1823</v>
      </c>
      <c r="D299" t="s">
        <v>1824</v>
      </c>
      <c r="E299" t="s">
        <v>1825</v>
      </c>
      <c r="F299">
        <v>4</v>
      </c>
      <c r="G299">
        <v>4</v>
      </c>
      <c r="H299">
        <v>2</v>
      </c>
      <c r="I299" s="1" t="s">
        <v>1826</v>
      </c>
      <c r="J299" s="1" t="s">
        <v>1827</v>
      </c>
      <c r="K299" s="1" t="s">
        <v>1828</v>
      </c>
    </row>
    <row r="300" spans="1:11" ht="45" x14ac:dyDescent="0.25">
      <c r="A300" t="s">
        <v>1829</v>
      </c>
      <c r="B300" t="s">
        <v>119</v>
      </c>
      <c r="C300" t="s">
        <v>1830</v>
      </c>
      <c r="D300" t="s">
        <v>1831</v>
      </c>
      <c r="E300" t="s">
        <v>698</v>
      </c>
      <c r="F300">
        <v>1</v>
      </c>
      <c r="G300">
        <v>1</v>
      </c>
      <c r="H300">
        <v>1</v>
      </c>
      <c r="I300" s="1" t="s">
        <v>68</v>
      </c>
      <c r="J300" s="1" t="s">
        <v>1832</v>
      </c>
      <c r="K300" s="1" t="s">
        <v>1833</v>
      </c>
    </row>
    <row r="301" spans="1:11" ht="45" x14ac:dyDescent="0.25">
      <c r="A301" t="s">
        <v>1834</v>
      </c>
      <c r="B301" t="s">
        <v>119</v>
      </c>
      <c r="C301" t="s">
        <v>1835</v>
      </c>
      <c r="D301" t="s">
        <v>1836</v>
      </c>
      <c r="E301" t="s">
        <v>880</v>
      </c>
      <c r="F301">
        <v>1</v>
      </c>
      <c r="G301">
        <v>1</v>
      </c>
      <c r="H301">
        <v>0</v>
      </c>
      <c r="I301" s="1" t="s">
        <v>68</v>
      </c>
      <c r="J301" s="1" t="s">
        <v>1837</v>
      </c>
    </row>
    <row r="302" spans="1:11" ht="75" x14ac:dyDescent="0.25">
      <c r="A302" t="s">
        <v>1838</v>
      </c>
      <c r="B302" t="s">
        <v>119</v>
      </c>
      <c r="C302" t="s">
        <v>1839</v>
      </c>
      <c r="D302" t="s">
        <v>838</v>
      </c>
      <c r="E302" t="s">
        <v>839</v>
      </c>
      <c r="F302">
        <v>2</v>
      </c>
      <c r="G302">
        <v>2</v>
      </c>
      <c r="H302">
        <v>1</v>
      </c>
      <c r="I302" s="1" t="s">
        <v>277</v>
      </c>
      <c r="J302" s="1" t="s">
        <v>1840</v>
      </c>
      <c r="K302" s="1" t="s">
        <v>259</v>
      </c>
    </row>
    <row r="303" spans="1:11" ht="120" x14ac:dyDescent="0.25">
      <c r="A303" t="s">
        <v>1841</v>
      </c>
      <c r="B303" t="s">
        <v>119</v>
      </c>
      <c r="C303" t="s">
        <v>1842</v>
      </c>
      <c r="D303" t="s">
        <v>1843</v>
      </c>
      <c r="E303" t="s">
        <v>1844</v>
      </c>
      <c r="F303">
        <v>3</v>
      </c>
      <c r="G303">
        <v>4</v>
      </c>
      <c r="H303">
        <v>2</v>
      </c>
      <c r="I303" s="1" t="s">
        <v>1845</v>
      </c>
      <c r="J303" s="1" t="s">
        <v>1846</v>
      </c>
      <c r="K303" s="1" t="s">
        <v>1847</v>
      </c>
    </row>
    <row r="304" spans="1:11" ht="90" x14ac:dyDescent="0.25">
      <c r="A304" t="s">
        <v>1848</v>
      </c>
      <c r="B304" t="s">
        <v>119</v>
      </c>
      <c r="C304" s="1" t="s">
        <v>1849</v>
      </c>
      <c r="D304" t="s">
        <v>1850</v>
      </c>
      <c r="E304" t="s">
        <v>1851</v>
      </c>
      <c r="F304">
        <v>3</v>
      </c>
      <c r="G304">
        <v>3</v>
      </c>
      <c r="H304">
        <v>2</v>
      </c>
      <c r="I304" s="1" t="s">
        <v>1852</v>
      </c>
      <c r="J304" s="1" t="s">
        <v>1853</v>
      </c>
      <c r="K304" s="1" t="s">
        <v>1854</v>
      </c>
    </row>
    <row r="305" spans="1:11" ht="105" x14ac:dyDescent="0.25">
      <c r="A305" t="s">
        <v>1855</v>
      </c>
      <c r="B305" t="s">
        <v>119</v>
      </c>
      <c r="C305" t="s">
        <v>1856</v>
      </c>
      <c r="D305" t="s">
        <v>1857</v>
      </c>
      <c r="E305" t="s">
        <v>1045</v>
      </c>
      <c r="F305">
        <v>3</v>
      </c>
      <c r="G305">
        <v>2</v>
      </c>
      <c r="H305">
        <v>1</v>
      </c>
      <c r="I305" s="1" t="s">
        <v>1858</v>
      </c>
      <c r="J305" s="1" t="s">
        <v>1859</v>
      </c>
      <c r="K305" s="1" t="s">
        <v>1860</v>
      </c>
    </row>
    <row r="306" spans="1:11" ht="60" x14ac:dyDescent="0.25">
      <c r="A306" t="s">
        <v>1861</v>
      </c>
      <c r="B306" t="s">
        <v>119</v>
      </c>
      <c r="C306" t="s">
        <v>1862</v>
      </c>
      <c r="D306" t="s">
        <v>1863</v>
      </c>
      <c r="E306" t="s">
        <v>784</v>
      </c>
      <c r="F306">
        <v>2</v>
      </c>
      <c r="G306">
        <v>3</v>
      </c>
      <c r="H306">
        <v>1</v>
      </c>
      <c r="I306" s="1" t="s">
        <v>1864</v>
      </c>
      <c r="J306" s="1" t="s">
        <v>1865</v>
      </c>
      <c r="K306" s="1" t="s">
        <v>1866</v>
      </c>
    </row>
    <row r="307" spans="1:11" ht="45" x14ac:dyDescent="0.25">
      <c r="A307" t="s">
        <v>1867</v>
      </c>
      <c r="B307" t="s">
        <v>119</v>
      </c>
      <c r="C307" t="s">
        <v>1868</v>
      </c>
      <c r="D307" t="s">
        <v>1869</v>
      </c>
      <c r="E307" t="s">
        <v>1870</v>
      </c>
      <c r="F307">
        <v>1</v>
      </c>
      <c r="G307">
        <v>1</v>
      </c>
      <c r="H307">
        <v>0</v>
      </c>
      <c r="I307" s="1" t="s">
        <v>68</v>
      </c>
      <c r="J307" s="1" t="s">
        <v>1871</v>
      </c>
    </row>
    <row r="308" spans="1:11" ht="120" x14ac:dyDescent="0.25">
      <c r="A308" t="s">
        <v>1872</v>
      </c>
      <c r="B308" t="s">
        <v>119</v>
      </c>
      <c r="C308" t="s">
        <v>1873</v>
      </c>
      <c r="D308" t="s">
        <v>1874</v>
      </c>
      <c r="E308" t="s">
        <v>1875</v>
      </c>
      <c r="F308">
        <v>4</v>
      </c>
      <c r="G308">
        <v>5</v>
      </c>
      <c r="H308">
        <v>3</v>
      </c>
      <c r="I308" s="1" t="s">
        <v>1876</v>
      </c>
      <c r="J308" s="1" t="s">
        <v>1877</v>
      </c>
      <c r="K308" s="1" t="s">
        <v>1878</v>
      </c>
    </row>
    <row r="309" spans="1:11" ht="75" x14ac:dyDescent="0.25">
      <c r="A309" t="s">
        <v>1879</v>
      </c>
      <c r="B309" t="s">
        <v>119</v>
      </c>
      <c r="C309" t="e">
        <f>-number of information -color contrast</f>
        <v>#NAME?</v>
      </c>
      <c r="D309" t="s">
        <v>1880</v>
      </c>
      <c r="E309" t="s">
        <v>712</v>
      </c>
      <c r="F309">
        <v>2</v>
      </c>
      <c r="G309">
        <v>2</v>
      </c>
      <c r="H309">
        <v>1</v>
      </c>
      <c r="I309" s="1" t="s">
        <v>797</v>
      </c>
      <c r="J309" s="1" t="s">
        <v>1881</v>
      </c>
      <c r="K309" s="1" t="s">
        <v>1882</v>
      </c>
    </row>
    <row r="310" spans="1:11" ht="120" x14ac:dyDescent="0.25">
      <c r="A310" t="s">
        <v>1883</v>
      </c>
      <c r="B310" t="s">
        <v>119</v>
      </c>
      <c r="C310" t="s">
        <v>1884</v>
      </c>
      <c r="D310" t="s">
        <v>1885</v>
      </c>
      <c r="E310" t="s">
        <v>610</v>
      </c>
      <c r="F310">
        <v>3</v>
      </c>
      <c r="G310">
        <v>3</v>
      </c>
      <c r="H310">
        <v>2</v>
      </c>
      <c r="I310" s="1" t="s">
        <v>1886</v>
      </c>
      <c r="J310" s="1" t="s">
        <v>1887</v>
      </c>
      <c r="K310" s="1" t="s">
        <v>1888</v>
      </c>
    </row>
    <row r="311" spans="1:11" ht="135" x14ac:dyDescent="0.25">
      <c r="A311" t="s">
        <v>1889</v>
      </c>
      <c r="B311" t="s">
        <v>119</v>
      </c>
      <c r="C311" t="s">
        <v>1890</v>
      </c>
      <c r="D311" t="s">
        <v>1891</v>
      </c>
      <c r="E311" t="s">
        <v>1892</v>
      </c>
      <c r="F311">
        <v>4</v>
      </c>
      <c r="G311">
        <v>4</v>
      </c>
      <c r="H311">
        <v>3</v>
      </c>
      <c r="I311" s="1" t="s">
        <v>1893</v>
      </c>
      <c r="J311" s="1" t="s">
        <v>1894</v>
      </c>
      <c r="K311" s="1" t="s">
        <v>1895</v>
      </c>
    </row>
    <row r="312" spans="1:11" ht="120" x14ac:dyDescent="0.25">
      <c r="A312" t="s">
        <v>1896</v>
      </c>
      <c r="B312" t="s">
        <v>119</v>
      </c>
      <c r="C312" t="s">
        <v>1897</v>
      </c>
      <c r="D312" t="s">
        <v>1898</v>
      </c>
      <c r="E312" t="s">
        <v>1899</v>
      </c>
      <c r="F312">
        <v>3</v>
      </c>
      <c r="G312">
        <v>3</v>
      </c>
      <c r="H312">
        <v>2</v>
      </c>
      <c r="I312" s="1" t="s">
        <v>1900</v>
      </c>
      <c r="J312" s="1" t="s">
        <v>1901</v>
      </c>
      <c r="K312" s="1" t="s">
        <v>1902</v>
      </c>
    </row>
    <row r="313" spans="1:11" ht="75" x14ac:dyDescent="0.25">
      <c r="A313" t="s">
        <v>1903</v>
      </c>
      <c r="B313" t="s">
        <v>119</v>
      </c>
      <c r="C313" t="s">
        <v>1904</v>
      </c>
      <c r="D313" t="s">
        <v>1905</v>
      </c>
      <c r="E313" t="s">
        <v>958</v>
      </c>
      <c r="F313">
        <v>2</v>
      </c>
      <c r="G313">
        <v>2</v>
      </c>
      <c r="H313">
        <v>1</v>
      </c>
      <c r="I313" s="1" t="s">
        <v>1906</v>
      </c>
      <c r="J313" s="1" t="s">
        <v>1907</v>
      </c>
      <c r="K313" s="1" t="s">
        <v>1908</v>
      </c>
    </row>
    <row r="314" spans="1:11" ht="90" x14ac:dyDescent="0.25">
      <c r="A314" t="s">
        <v>1909</v>
      </c>
      <c r="B314" t="s">
        <v>119</v>
      </c>
      <c r="C314" t="e">
        <f>- different color codes
- titles for all points of data- various points of data</f>
        <v>#NAME?</v>
      </c>
      <c r="D314" t="s">
        <v>1910</v>
      </c>
      <c r="E314" t="s">
        <v>1911</v>
      </c>
      <c r="F314">
        <v>3</v>
      </c>
      <c r="G314">
        <v>3</v>
      </c>
      <c r="H314">
        <v>2</v>
      </c>
      <c r="I314" s="1" t="s">
        <v>1912</v>
      </c>
      <c r="J314" s="1" t="s">
        <v>1913</v>
      </c>
      <c r="K314" s="1" t="s">
        <v>1914</v>
      </c>
    </row>
    <row r="315" spans="1:11" ht="120" x14ac:dyDescent="0.25">
      <c r="A315" t="s">
        <v>1915</v>
      </c>
      <c r="B315" t="s">
        <v>119</v>
      </c>
      <c r="C315" t="s">
        <v>1916</v>
      </c>
      <c r="D315" t="s">
        <v>1917</v>
      </c>
      <c r="E315" t="s">
        <v>1918</v>
      </c>
      <c r="F315">
        <v>3</v>
      </c>
      <c r="G315">
        <v>3</v>
      </c>
      <c r="H315">
        <v>2</v>
      </c>
      <c r="I315" s="1" t="s">
        <v>1919</v>
      </c>
      <c r="J315" s="1" t="s">
        <v>1920</v>
      </c>
      <c r="K315" s="1" t="s">
        <v>1921</v>
      </c>
    </row>
    <row r="316" spans="1:11" ht="90" x14ac:dyDescent="0.25">
      <c r="A316" t="s">
        <v>1922</v>
      </c>
      <c r="B316" t="s">
        <v>119</v>
      </c>
      <c r="C316" t="s">
        <v>1923</v>
      </c>
      <c r="D316" t="s">
        <v>1924</v>
      </c>
      <c r="E316" t="s">
        <v>984</v>
      </c>
      <c r="F316">
        <v>3</v>
      </c>
      <c r="G316">
        <v>2</v>
      </c>
      <c r="H316">
        <v>2</v>
      </c>
      <c r="I316" s="1" t="s">
        <v>1925</v>
      </c>
      <c r="J316" s="1" t="s">
        <v>1926</v>
      </c>
      <c r="K316" s="1" t="s">
        <v>1927</v>
      </c>
    </row>
    <row r="317" spans="1:11" ht="165" x14ac:dyDescent="0.25">
      <c r="A317" t="s">
        <v>1928</v>
      </c>
      <c r="B317" t="s">
        <v>119</v>
      </c>
      <c r="C317" t="s">
        <v>1929</v>
      </c>
      <c r="D317" t="s">
        <v>1930</v>
      </c>
      <c r="E317" t="s">
        <v>1931</v>
      </c>
      <c r="F317">
        <v>4</v>
      </c>
      <c r="G317">
        <v>4</v>
      </c>
      <c r="H317">
        <v>3</v>
      </c>
      <c r="I317" s="1" t="s">
        <v>1932</v>
      </c>
      <c r="J317" s="1" t="s">
        <v>1933</v>
      </c>
      <c r="K317" s="1" t="s">
        <v>1934</v>
      </c>
    </row>
    <row r="318" spans="1:11" ht="90" x14ac:dyDescent="0.25">
      <c r="A318" t="s">
        <v>1935</v>
      </c>
      <c r="B318" t="s">
        <v>78</v>
      </c>
      <c r="C318" t="s">
        <v>1936</v>
      </c>
      <c r="D318" t="s">
        <v>1937</v>
      </c>
      <c r="E318" t="s">
        <v>1938</v>
      </c>
      <c r="F318">
        <v>3</v>
      </c>
      <c r="G318">
        <v>3</v>
      </c>
      <c r="H318">
        <v>2</v>
      </c>
      <c r="I318" s="1" t="s">
        <v>1939</v>
      </c>
      <c r="J318" s="1" t="s">
        <v>1940</v>
      </c>
      <c r="K318" s="1" t="s">
        <v>1941</v>
      </c>
    </row>
    <row r="319" spans="1:11" ht="165" x14ac:dyDescent="0.25">
      <c r="A319" t="s">
        <v>1942</v>
      </c>
      <c r="B319" t="s">
        <v>78</v>
      </c>
      <c r="C319" t="s">
        <v>1943</v>
      </c>
      <c r="D319" t="s">
        <v>1944</v>
      </c>
      <c r="E319" t="s">
        <v>1945</v>
      </c>
      <c r="F319">
        <v>5</v>
      </c>
      <c r="G319">
        <v>6</v>
      </c>
      <c r="H319">
        <v>3</v>
      </c>
      <c r="I319" s="1" t="s">
        <v>1946</v>
      </c>
      <c r="J319" s="1" t="s">
        <v>1947</v>
      </c>
      <c r="K319" s="1" t="s">
        <v>1948</v>
      </c>
    </row>
    <row r="320" spans="1:11" ht="105" x14ac:dyDescent="0.25">
      <c r="A320" t="s">
        <v>1949</v>
      </c>
      <c r="B320" t="s">
        <v>78</v>
      </c>
      <c r="C320" t="s">
        <v>1950</v>
      </c>
      <c r="D320" t="s">
        <v>1951</v>
      </c>
      <c r="E320" t="s">
        <v>150</v>
      </c>
      <c r="F320">
        <v>3</v>
      </c>
      <c r="G320">
        <v>3</v>
      </c>
      <c r="H320">
        <v>2</v>
      </c>
      <c r="I320" s="1" t="s">
        <v>1952</v>
      </c>
      <c r="J320" s="1" t="s">
        <v>1953</v>
      </c>
      <c r="K320" s="1" t="s">
        <v>1954</v>
      </c>
    </row>
    <row r="321" spans="1:11" ht="135" x14ac:dyDescent="0.25">
      <c r="A321" t="s">
        <v>1955</v>
      </c>
      <c r="B321" t="s">
        <v>78</v>
      </c>
      <c r="C321" t="s">
        <v>1956</v>
      </c>
      <c r="D321" t="s">
        <v>1957</v>
      </c>
      <c r="E321" t="s">
        <v>1958</v>
      </c>
      <c r="F321">
        <v>4</v>
      </c>
      <c r="G321">
        <v>6</v>
      </c>
      <c r="H321">
        <v>2</v>
      </c>
      <c r="I321" s="1" t="s">
        <v>1959</v>
      </c>
      <c r="J321" s="1" t="s">
        <v>1960</v>
      </c>
      <c r="K321" s="1" t="s">
        <v>1961</v>
      </c>
    </row>
    <row r="322" spans="1:11" ht="45" x14ac:dyDescent="0.25">
      <c r="A322" t="s">
        <v>1962</v>
      </c>
      <c r="B322" t="s">
        <v>78</v>
      </c>
      <c r="C322" t="s">
        <v>1963</v>
      </c>
      <c r="D322" t="s">
        <v>591</v>
      </c>
      <c r="E322" t="s">
        <v>150</v>
      </c>
      <c r="F322">
        <v>1</v>
      </c>
      <c r="G322">
        <v>1</v>
      </c>
      <c r="H322">
        <v>0</v>
      </c>
      <c r="I322" s="1" t="s">
        <v>68</v>
      </c>
      <c r="J322" s="1" t="s">
        <v>1964</v>
      </c>
    </row>
    <row r="323" spans="1:11" ht="45" x14ac:dyDescent="0.25">
      <c r="A323" t="s">
        <v>1965</v>
      </c>
      <c r="B323" t="s">
        <v>78</v>
      </c>
      <c r="C323" t="s">
        <v>1966</v>
      </c>
      <c r="D323" t="s">
        <v>1967</v>
      </c>
      <c r="E323" t="s">
        <v>150</v>
      </c>
      <c r="F323">
        <v>1</v>
      </c>
      <c r="G323">
        <v>1</v>
      </c>
      <c r="H323">
        <v>0</v>
      </c>
      <c r="I323" s="1" t="s">
        <v>68</v>
      </c>
      <c r="J323" s="1" t="s">
        <v>1968</v>
      </c>
    </row>
    <row r="324" spans="1:11" ht="75" x14ac:dyDescent="0.25">
      <c r="A324" t="s">
        <v>1969</v>
      </c>
      <c r="B324" t="s">
        <v>78</v>
      </c>
      <c r="C324" t="s">
        <v>1970</v>
      </c>
      <c r="D324" t="s">
        <v>1971</v>
      </c>
      <c r="E324" t="s">
        <v>155</v>
      </c>
      <c r="F324">
        <v>2</v>
      </c>
      <c r="G324">
        <v>2</v>
      </c>
      <c r="H324">
        <v>1</v>
      </c>
      <c r="I324" s="1" t="s">
        <v>1972</v>
      </c>
      <c r="J324" s="1" t="s">
        <v>1973</v>
      </c>
      <c r="K324" s="1" t="s">
        <v>1974</v>
      </c>
    </row>
    <row r="325" spans="1:11" ht="105" x14ac:dyDescent="0.25">
      <c r="A325" t="s">
        <v>1975</v>
      </c>
      <c r="B325" t="s">
        <v>78</v>
      </c>
      <c r="C325" t="s">
        <v>1976</v>
      </c>
      <c r="D325" t="s">
        <v>1977</v>
      </c>
      <c r="E325" t="s">
        <v>1978</v>
      </c>
      <c r="F325">
        <v>3</v>
      </c>
      <c r="G325">
        <v>4</v>
      </c>
      <c r="H325">
        <v>2</v>
      </c>
      <c r="I325" s="1" t="s">
        <v>1979</v>
      </c>
      <c r="J325" s="1" t="s">
        <v>1980</v>
      </c>
      <c r="K325" s="1" t="s">
        <v>1981</v>
      </c>
    </row>
    <row r="326" spans="1:11" ht="195" x14ac:dyDescent="0.25">
      <c r="A326" t="s">
        <v>1982</v>
      </c>
      <c r="B326" t="s">
        <v>78</v>
      </c>
      <c r="C326" t="s">
        <v>1983</v>
      </c>
      <c r="D326" t="s">
        <v>1984</v>
      </c>
      <c r="E326" t="s">
        <v>1985</v>
      </c>
      <c r="F326">
        <v>5</v>
      </c>
      <c r="G326">
        <v>6</v>
      </c>
      <c r="H326">
        <v>4</v>
      </c>
      <c r="I326" s="1" t="s">
        <v>1986</v>
      </c>
      <c r="J326" s="1" t="s">
        <v>1987</v>
      </c>
      <c r="K326" s="1" t="s">
        <v>1988</v>
      </c>
    </row>
    <row r="327" spans="1:11" ht="75" x14ac:dyDescent="0.25">
      <c r="A327" t="s">
        <v>1989</v>
      </c>
      <c r="B327" t="s">
        <v>78</v>
      </c>
      <c r="C327" t="s">
        <v>1990</v>
      </c>
      <c r="D327" t="s">
        <v>1991</v>
      </c>
      <c r="E327" t="s">
        <v>1991</v>
      </c>
      <c r="F327">
        <v>2</v>
      </c>
      <c r="G327">
        <v>3</v>
      </c>
      <c r="H327">
        <v>1</v>
      </c>
      <c r="I327" s="1" t="s">
        <v>277</v>
      </c>
      <c r="J327" s="1" t="s">
        <v>1992</v>
      </c>
      <c r="K327" s="1" t="s">
        <v>1993</v>
      </c>
    </row>
    <row r="328" spans="1:11" ht="255" x14ac:dyDescent="0.25">
      <c r="A328" t="s">
        <v>1994</v>
      </c>
      <c r="B328" t="s">
        <v>78</v>
      </c>
      <c r="C328" t="s">
        <v>1995</v>
      </c>
      <c r="D328" t="s">
        <v>1996</v>
      </c>
      <c r="E328" t="s">
        <v>1997</v>
      </c>
      <c r="F328">
        <v>7</v>
      </c>
      <c r="G328">
        <v>12</v>
      </c>
      <c r="H328">
        <v>5</v>
      </c>
      <c r="I328" s="1" t="s">
        <v>1998</v>
      </c>
      <c r="J328" s="1" t="s">
        <v>1999</v>
      </c>
      <c r="K328" s="1" t="s">
        <v>2000</v>
      </c>
    </row>
    <row r="329" spans="1:11" ht="150" x14ac:dyDescent="0.25">
      <c r="A329" t="s">
        <v>2001</v>
      </c>
      <c r="B329" t="s">
        <v>78</v>
      </c>
      <c r="C329" t="s">
        <v>2002</v>
      </c>
      <c r="D329" t="s">
        <v>2003</v>
      </c>
      <c r="E329" t="s">
        <v>2004</v>
      </c>
      <c r="F329">
        <v>4</v>
      </c>
      <c r="G329">
        <v>5</v>
      </c>
      <c r="H329">
        <v>3</v>
      </c>
      <c r="I329" s="1" t="s">
        <v>2005</v>
      </c>
      <c r="J329" s="1" t="s">
        <v>2006</v>
      </c>
      <c r="K329" s="1" t="s">
        <v>2007</v>
      </c>
    </row>
    <row r="330" spans="1:11" ht="150" x14ac:dyDescent="0.25">
      <c r="A330" t="s">
        <v>2008</v>
      </c>
      <c r="B330" t="s">
        <v>78</v>
      </c>
      <c r="C330" t="s">
        <v>2009</v>
      </c>
      <c r="D330" t="s">
        <v>2010</v>
      </c>
      <c r="E330" t="s">
        <v>2011</v>
      </c>
      <c r="F330">
        <v>4</v>
      </c>
      <c r="G330">
        <v>5</v>
      </c>
      <c r="H330">
        <v>3</v>
      </c>
      <c r="I330" s="1" t="s">
        <v>2012</v>
      </c>
      <c r="J330" s="1" t="s">
        <v>2013</v>
      </c>
      <c r="K330" s="1" t="s">
        <v>2014</v>
      </c>
    </row>
    <row r="331" spans="1:11" ht="120" x14ac:dyDescent="0.25">
      <c r="A331" t="s">
        <v>2015</v>
      </c>
      <c r="B331" t="s">
        <v>78</v>
      </c>
      <c r="C331" t="s">
        <v>2016</v>
      </c>
      <c r="D331" t="s">
        <v>2017</v>
      </c>
      <c r="E331" t="s">
        <v>617</v>
      </c>
      <c r="F331">
        <v>4</v>
      </c>
      <c r="G331">
        <v>5</v>
      </c>
      <c r="H331">
        <v>2</v>
      </c>
      <c r="I331" s="1" t="s">
        <v>2018</v>
      </c>
      <c r="J331" s="1" t="s">
        <v>2019</v>
      </c>
      <c r="K331" s="1" t="s">
        <v>2020</v>
      </c>
    </row>
    <row r="332" spans="1:11" ht="75" x14ac:dyDescent="0.25">
      <c r="A332" t="s">
        <v>2021</v>
      </c>
      <c r="B332" t="s">
        <v>78</v>
      </c>
      <c r="C332" t="s">
        <v>2022</v>
      </c>
      <c r="D332" t="s">
        <v>2023</v>
      </c>
      <c r="E332" t="s">
        <v>1713</v>
      </c>
      <c r="F332">
        <v>2</v>
      </c>
      <c r="G332">
        <v>2</v>
      </c>
      <c r="H332">
        <v>1</v>
      </c>
      <c r="I332" s="1" t="s">
        <v>2024</v>
      </c>
      <c r="J332" s="1" t="s">
        <v>2025</v>
      </c>
      <c r="K332" s="1" t="s">
        <v>2026</v>
      </c>
    </row>
    <row r="333" spans="1:11" ht="165" x14ac:dyDescent="0.25">
      <c r="A333" t="s">
        <v>2027</v>
      </c>
      <c r="B333" t="s">
        <v>78</v>
      </c>
      <c r="C333" s="1" t="s">
        <v>2028</v>
      </c>
      <c r="D333" t="s">
        <v>2029</v>
      </c>
      <c r="E333" t="s">
        <v>698</v>
      </c>
      <c r="F333">
        <v>2</v>
      </c>
      <c r="G333">
        <v>2</v>
      </c>
      <c r="H333">
        <v>1</v>
      </c>
      <c r="I333" s="1" t="s">
        <v>2030</v>
      </c>
      <c r="J333" s="1" t="s">
        <v>2031</v>
      </c>
      <c r="K333" s="1" t="s">
        <v>2032</v>
      </c>
    </row>
    <row r="334" spans="1:11" ht="60" x14ac:dyDescent="0.25">
      <c r="A334" t="s">
        <v>2033</v>
      </c>
      <c r="B334" t="s">
        <v>78</v>
      </c>
      <c r="C334" s="1" t="s">
        <v>2034</v>
      </c>
      <c r="D334" t="s">
        <v>2035</v>
      </c>
      <c r="E334" t="s">
        <v>2036</v>
      </c>
      <c r="F334">
        <v>2</v>
      </c>
      <c r="G334">
        <v>2</v>
      </c>
      <c r="H334">
        <v>1</v>
      </c>
      <c r="I334" s="1" t="s">
        <v>2037</v>
      </c>
      <c r="J334" s="1" t="s">
        <v>2038</v>
      </c>
      <c r="K334" s="1" t="s">
        <v>2039</v>
      </c>
    </row>
    <row r="335" spans="1:11" ht="75" x14ac:dyDescent="0.25">
      <c r="A335" t="s">
        <v>2040</v>
      </c>
      <c r="B335" t="s">
        <v>78</v>
      </c>
      <c r="C335" t="s">
        <v>2041</v>
      </c>
      <c r="D335" t="s">
        <v>2042</v>
      </c>
      <c r="E335" t="s">
        <v>1252</v>
      </c>
      <c r="F335">
        <v>3</v>
      </c>
      <c r="G335">
        <v>4</v>
      </c>
      <c r="H335">
        <v>3</v>
      </c>
      <c r="I335" s="1" t="s">
        <v>2043</v>
      </c>
      <c r="J335" s="1" t="s">
        <v>2044</v>
      </c>
      <c r="K335" s="1" t="s">
        <v>2045</v>
      </c>
    </row>
    <row r="336" spans="1:11" ht="120" x14ac:dyDescent="0.25">
      <c r="A336" t="s">
        <v>2046</v>
      </c>
      <c r="B336" t="s">
        <v>78</v>
      </c>
      <c r="C336" t="s">
        <v>2047</v>
      </c>
      <c r="D336" t="s">
        <v>2048</v>
      </c>
      <c r="E336" t="s">
        <v>2049</v>
      </c>
      <c r="F336">
        <v>3</v>
      </c>
      <c r="G336">
        <v>4</v>
      </c>
      <c r="H336">
        <v>2</v>
      </c>
      <c r="I336" s="1" t="s">
        <v>2050</v>
      </c>
      <c r="J336" s="1" t="s">
        <v>2051</v>
      </c>
      <c r="K336" s="1" t="s">
        <v>2052</v>
      </c>
    </row>
    <row r="337" spans="1:11" ht="45" x14ac:dyDescent="0.25">
      <c r="A337" t="s">
        <v>2053</v>
      </c>
      <c r="B337" t="s">
        <v>78</v>
      </c>
      <c r="C337" t="s">
        <v>2054</v>
      </c>
      <c r="D337" t="s">
        <v>880</v>
      </c>
      <c r="E337" t="s">
        <v>880</v>
      </c>
      <c r="F337">
        <v>1</v>
      </c>
      <c r="G337">
        <v>1</v>
      </c>
      <c r="H337">
        <v>0</v>
      </c>
      <c r="I337" s="1" t="s">
        <v>68</v>
      </c>
      <c r="J337" s="1" t="s">
        <v>2055</v>
      </c>
    </row>
    <row r="338" spans="1:11" ht="120" x14ac:dyDescent="0.25">
      <c r="A338" t="s">
        <v>2056</v>
      </c>
      <c r="B338" t="s">
        <v>78</v>
      </c>
      <c r="C338" t="s">
        <v>2057</v>
      </c>
      <c r="D338" t="s">
        <v>2058</v>
      </c>
      <c r="E338" t="s">
        <v>2059</v>
      </c>
      <c r="F338">
        <v>3</v>
      </c>
      <c r="G338">
        <v>4</v>
      </c>
      <c r="H338">
        <v>2</v>
      </c>
      <c r="I338" s="1" t="s">
        <v>2060</v>
      </c>
      <c r="J338" s="1" t="s">
        <v>2061</v>
      </c>
      <c r="K338" s="1" t="s">
        <v>2062</v>
      </c>
    </row>
    <row r="339" spans="1:11" ht="45" x14ac:dyDescent="0.25">
      <c r="A339" t="s">
        <v>2063</v>
      </c>
      <c r="B339" t="s">
        <v>78</v>
      </c>
      <c r="C339" t="s">
        <v>2064</v>
      </c>
      <c r="D339" t="s">
        <v>1437</v>
      </c>
      <c r="E339" t="s">
        <v>150</v>
      </c>
      <c r="F339">
        <v>1</v>
      </c>
      <c r="G339">
        <v>1</v>
      </c>
      <c r="H339">
        <v>0</v>
      </c>
      <c r="I339" s="1" t="s">
        <v>68</v>
      </c>
      <c r="J339" s="1" t="s">
        <v>2065</v>
      </c>
    </row>
    <row r="340" spans="1:11" ht="165" x14ac:dyDescent="0.25">
      <c r="A340" t="s">
        <v>2066</v>
      </c>
      <c r="B340" t="s">
        <v>78</v>
      </c>
      <c r="C340" t="e">
        <f>- clear numerical details on the x and y scales - precise naming of the scales - two separate lines, one striped one long line marking data</f>
        <v>#NAME?</v>
      </c>
      <c r="D340" t="s">
        <v>2067</v>
      </c>
      <c r="E340" t="s">
        <v>2068</v>
      </c>
      <c r="F340">
        <v>5</v>
      </c>
      <c r="G340">
        <v>5</v>
      </c>
      <c r="H340">
        <v>3</v>
      </c>
      <c r="I340" s="1" t="s">
        <v>2069</v>
      </c>
      <c r="J340" s="1" t="s">
        <v>2070</v>
      </c>
      <c r="K340" s="1" t="s">
        <v>2071</v>
      </c>
    </row>
    <row r="341" spans="1:11" ht="165" x14ac:dyDescent="0.25">
      <c r="A341" t="s">
        <v>2072</v>
      </c>
      <c r="B341" t="s">
        <v>78</v>
      </c>
      <c r="C341" t="s">
        <v>2073</v>
      </c>
      <c r="D341" t="s">
        <v>2074</v>
      </c>
      <c r="E341" t="s">
        <v>2075</v>
      </c>
      <c r="F341">
        <v>5</v>
      </c>
      <c r="G341">
        <v>6</v>
      </c>
      <c r="H341">
        <v>3</v>
      </c>
      <c r="I341" s="1" t="s">
        <v>2076</v>
      </c>
      <c r="J341" s="1" t="s">
        <v>2077</v>
      </c>
      <c r="K341" s="1" t="s">
        <v>2078</v>
      </c>
    </row>
    <row r="342" spans="1:11" ht="45" x14ac:dyDescent="0.25">
      <c r="A342" t="s">
        <v>2079</v>
      </c>
      <c r="B342" t="s">
        <v>78</v>
      </c>
      <c r="C342" t="s">
        <v>2080</v>
      </c>
      <c r="D342" t="s">
        <v>658</v>
      </c>
      <c r="E342" t="s">
        <v>150</v>
      </c>
      <c r="F342">
        <v>1</v>
      </c>
      <c r="G342">
        <v>1</v>
      </c>
      <c r="H342">
        <v>0</v>
      </c>
      <c r="I342" s="1" t="s">
        <v>68</v>
      </c>
      <c r="J342" s="1" t="s">
        <v>2081</v>
      </c>
    </row>
    <row r="343" spans="1:11" ht="105" x14ac:dyDescent="0.25">
      <c r="A343" t="s">
        <v>2082</v>
      </c>
      <c r="B343" t="s">
        <v>78</v>
      </c>
      <c r="C343" t="s">
        <v>2083</v>
      </c>
      <c r="D343" t="s">
        <v>2084</v>
      </c>
      <c r="E343" t="s">
        <v>2085</v>
      </c>
      <c r="F343">
        <v>3</v>
      </c>
      <c r="G343">
        <v>3</v>
      </c>
      <c r="H343">
        <v>2</v>
      </c>
      <c r="I343" s="1" t="s">
        <v>2086</v>
      </c>
      <c r="J343" s="1" t="s">
        <v>2087</v>
      </c>
      <c r="K343" s="1" t="s">
        <v>2088</v>
      </c>
    </row>
    <row r="344" spans="1:11" ht="120" x14ac:dyDescent="0.25">
      <c r="A344" t="s">
        <v>2089</v>
      </c>
      <c r="B344" t="s">
        <v>78</v>
      </c>
      <c r="C344" t="s">
        <v>2090</v>
      </c>
      <c r="D344" t="s">
        <v>2091</v>
      </c>
      <c r="E344" t="s">
        <v>2092</v>
      </c>
      <c r="F344">
        <v>3</v>
      </c>
      <c r="G344">
        <v>3</v>
      </c>
      <c r="H344">
        <v>2</v>
      </c>
      <c r="I344" s="1" t="s">
        <v>2093</v>
      </c>
      <c r="J344" s="1" t="s">
        <v>2094</v>
      </c>
      <c r="K344" s="1" t="s">
        <v>2095</v>
      </c>
    </row>
    <row r="345" spans="1:11" ht="150" x14ac:dyDescent="0.25">
      <c r="A345" t="s">
        <v>2096</v>
      </c>
      <c r="B345" t="s">
        <v>78</v>
      </c>
      <c r="C345" t="s">
        <v>2097</v>
      </c>
      <c r="D345" t="s">
        <v>2098</v>
      </c>
      <c r="E345" t="s">
        <v>2099</v>
      </c>
      <c r="F345">
        <v>5</v>
      </c>
      <c r="G345">
        <v>5</v>
      </c>
      <c r="H345">
        <v>3</v>
      </c>
      <c r="I345" s="1" t="s">
        <v>2100</v>
      </c>
      <c r="J345" s="1" t="s">
        <v>2101</v>
      </c>
      <c r="K345" s="1" t="s">
        <v>2102</v>
      </c>
    </row>
    <row r="346" spans="1:11" ht="30" x14ac:dyDescent="0.25">
      <c r="A346" t="s">
        <v>2103</v>
      </c>
      <c r="B346" t="s">
        <v>78</v>
      </c>
      <c r="C346" t="s">
        <v>2104</v>
      </c>
      <c r="D346" t="s">
        <v>2105</v>
      </c>
      <c r="E346" t="s">
        <v>784</v>
      </c>
      <c r="F346">
        <v>1</v>
      </c>
      <c r="G346">
        <v>1</v>
      </c>
      <c r="H346">
        <v>0</v>
      </c>
      <c r="I346" s="1" t="s">
        <v>2106</v>
      </c>
      <c r="J346" s="1" t="s">
        <v>2107</v>
      </c>
    </row>
    <row r="347" spans="1:11" ht="135" x14ac:dyDescent="0.25">
      <c r="A347" t="s">
        <v>2108</v>
      </c>
      <c r="B347" t="s">
        <v>78</v>
      </c>
      <c r="C347" t="s">
        <v>2109</v>
      </c>
      <c r="D347" t="s">
        <v>2110</v>
      </c>
      <c r="E347" t="s">
        <v>2111</v>
      </c>
      <c r="F347">
        <v>4</v>
      </c>
      <c r="G347">
        <v>5</v>
      </c>
      <c r="H347">
        <v>3</v>
      </c>
      <c r="I347" s="1" t="s">
        <v>2112</v>
      </c>
      <c r="J347" s="1" t="s">
        <v>2113</v>
      </c>
      <c r="K347" s="1" t="s">
        <v>2114</v>
      </c>
    </row>
    <row r="348" spans="1:11" ht="30" x14ac:dyDescent="0.25">
      <c r="A348" t="s">
        <v>2115</v>
      </c>
      <c r="B348" t="s">
        <v>78</v>
      </c>
      <c r="C348" t="s">
        <v>2116</v>
      </c>
      <c r="D348" t="s">
        <v>2117</v>
      </c>
      <c r="E348" t="s">
        <v>784</v>
      </c>
      <c r="F348">
        <v>1</v>
      </c>
      <c r="G348">
        <v>1</v>
      </c>
      <c r="H348">
        <v>0</v>
      </c>
      <c r="I348" s="1" t="s">
        <v>2106</v>
      </c>
      <c r="J348" s="1" t="s">
        <v>2118</v>
      </c>
    </row>
    <row r="349" spans="1:11" ht="75" x14ac:dyDescent="0.25">
      <c r="A349" t="s">
        <v>2119</v>
      </c>
      <c r="B349" t="s">
        <v>78</v>
      </c>
      <c r="C349" t="s">
        <v>2120</v>
      </c>
      <c r="D349" t="s">
        <v>2121</v>
      </c>
      <c r="E349" t="s">
        <v>984</v>
      </c>
      <c r="F349">
        <v>2</v>
      </c>
      <c r="G349">
        <v>1</v>
      </c>
      <c r="H349">
        <v>1</v>
      </c>
      <c r="I349" s="1" t="s">
        <v>2122</v>
      </c>
      <c r="J349" s="1" t="s">
        <v>2123</v>
      </c>
      <c r="K349" s="1" t="s">
        <v>2124</v>
      </c>
    </row>
    <row r="350" spans="1:11" ht="30" x14ac:dyDescent="0.25">
      <c r="A350" t="s">
        <v>2125</v>
      </c>
      <c r="B350" t="s">
        <v>78</v>
      </c>
      <c r="C350" t="s">
        <v>2126</v>
      </c>
      <c r="D350" t="s">
        <v>1500</v>
      </c>
      <c r="E350" t="s">
        <v>15</v>
      </c>
      <c r="F350">
        <v>1</v>
      </c>
      <c r="G350">
        <v>1</v>
      </c>
      <c r="H350">
        <v>0</v>
      </c>
      <c r="I350" s="1" t="s">
        <v>2127</v>
      </c>
      <c r="J350" s="1" t="s">
        <v>2128</v>
      </c>
    </row>
    <row r="351" spans="1:11" ht="105" x14ac:dyDescent="0.25">
      <c r="A351" t="s">
        <v>2129</v>
      </c>
      <c r="B351" t="s">
        <v>78</v>
      </c>
      <c r="C351" t="s">
        <v>2130</v>
      </c>
      <c r="D351" t="s">
        <v>2131</v>
      </c>
      <c r="E351" t="s">
        <v>15</v>
      </c>
      <c r="F351">
        <v>3</v>
      </c>
      <c r="G351">
        <v>3</v>
      </c>
      <c r="H351">
        <v>2</v>
      </c>
      <c r="I351" s="1" t="s">
        <v>2132</v>
      </c>
      <c r="J351" s="1" t="s">
        <v>2133</v>
      </c>
      <c r="K351" s="1" t="s">
        <v>2134</v>
      </c>
    </row>
    <row r="352" spans="1:11" ht="60" x14ac:dyDescent="0.25">
      <c r="A352" t="s">
        <v>2135</v>
      </c>
      <c r="B352" t="s">
        <v>78</v>
      </c>
      <c r="C352" t="s">
        <v>2136</v>
      </c>
      <c r="D352" t="s">
        <v>2137</v>
      </c>
      <c r="E352" t="s">
        <v>2138</v>
      </c>
      <c r="F352">
        <v>2</v>
      </c>
      <c r="G352">
        <v>3</v>
      </c>
      <c r="H352">
        <v>1</v>
      </c>
      <c r="I352" s="1" t="s">
        <v>2139</v>
      </c>
      <c r="J352" s="1" t="s">
        <v>2140</v>
      </c>
      <c r="K352" s="1" t="s">
        <v>2141</v>
      </c>
    </row>
    <row r="353" spans="1:11" ht="60" x14ac:dyDescent="0.25">
      <c r="A353" t="s">
        <v>2142</v>
      </c>
      <c r="B353" t="s">
        <v>78</v>
      </c>
      <c r="C353" t="s">
        <v>2143</v>
      </c>
      <c r="D353" t="s">
        <v>2144</v>
      </c>
      <c r="E353" t="s">
        <v>2145</v>
      </c>
      <c r="F353">
        <v>2</v>
      </c>
      <c r="G353">
        <v>3</v>
      </c>
      <c r="H353">
        <v>1</v>
      </c>
      <c r="I353" s="1" t="s">
        <v>2146</v>
      </c>
      <c r="J353" s="1" t="s">
        <v>2147</v>
      </c>
      <c r="K353" s="1" t="s">
        <v>2148</v>
      </c>
    </row>
    <row r="354" spans="1:11" ht="120" x14ac:dyDescent="0.25">
      <c r="A354" t="s">
        <v>2149</v>
      </c>
      <c r="B354" t="s">
        <v>78</v>
      </c>
      <c r="C354" t="s">
        <v>2150</v>
      </c>
      <c r="D354" t="s">
        <v>2151</v>
      </c>
      <c r="E354" t="s">
        <v>1045</v>
      </c>
      <c r="F354">
        <v>4</v>
      </c>
      <c r="G354">
        <v>4</v>
      </c>
      <c r="H354">
        <v>3</v>
      </c>
      <c r="I354" s="1" t="s">
        <v>2152</v>
      </c>
      <c r="J354" s="1" t="s">
        <v>2153</v>
      </c>
      <c r="K354" s="1" t="s">
        <v>2154</v>
      </c>
    </row>
    <row r="355" spans="1:11" ht="105" x14ac:dyDescent="0.25">
      <c r="A355" t="s">
        <v>2155</v>
      </c>
      <c r="B355" t="s">
        <v>78</v>
      </c>
      <c r="C355" t="s">
        <v>2156</v>
      </c>
      <c r="D355" t="s">
        <v>2157</v>
      </c>
      <c r="E355" t="s">
        <v>2158</v>
      </c>
      <c r="F355">
        <v>3</v>
      </c>
      <c r="G355">
        <v>2</v>
      </c>
      <c r="H355">
        <v>2</v>
      </c>
      <c r="I355" s="1" t="s">
        <v>2159</v>
      </c>
      <c r="J355" s="1" t="s">
        <v>2160</v>
      </c>
      <c r="K355" s="1" t="s">
        <v>2161</v>
      </c>
    </row>
    <row r="356" spans="1:11" ht="45" x14ac:dyDescent="0.25">
      <c r="A356" t="s">
        <v>2162</v>
      </c>
      <c r="B356" t="s">
        <v>78</v>
      </c>
      <c r="D356" t="s">
        <v>1220</v>
      </c>
      <c r="E356" t="s">
        <v>1221</v>
      </c>
      <c r="F356">
        <v>1</v>
      </c>
      <c r="G356">
        <v>1</v>
      </c>
      <c r="H356">
        <v>0</v>
      </c>
      <c r="I356" s="1" t="s">
        <v>592</v>
      </c>
      <c r="J356" s="1" t="s">
        <v>2163</v>
      </c>
    </row>
    <row r="357" spans="1:11" ht="165" x14ac:dyDescent="0.25">
      <c r="A357" t="s">
        <v>2164</v>
      </c>
      <c r="B357" t="s">
        <v>78</v>
      </c>
      <c r="C357" t="s">
        <v>2165</v>
      </c>
      <c r="D357" t="s">
        <v>2166</v>
      </c>
      <c r="E357" t="s">
        <v>2167</v>
      </c>
      <c r="F357">
        <v>5</v>
      </c>
      <c r="G357">
        <v>5</v>
      </c>
      <c r="H357">
        <v>3</v>
      </c>
      <c r="I357" s="1" t="s">
        <v>2168</v>
      </c>
      <c r="J357" s="1" t="s">
        <v>2169</v>
      </c>
      <c r="K357" s="1" t="s">
        <v>2170</v>
      </c>
    </row>
    <row r="358" spans="1:11" ht="45" x14ac:dyDescent="0.25">
      <c r="A358" t="s">
        <v>2171</v>
      </c>
      <c r="B358" t="s">
        <v>35</v>
      </c>
      <c r="C358" t="s">
        <v>2172</v>
      </c>
      <c r="D358" t="s">
        <v>845</v>
      </c>
      <c r="E358" t="s">
        <v>150</v>
      </c>
      <c r="F358">
        <v>1</v>
      </c>
      <c r="G358">
        <v>1</v>
      </c>
      <c r="H358">
        <v>0</v>
      </c>
      <c r="I358" s="1" t="s">
        <v>68</v>
      </c>
      <c r="J358" s="1" t="s">
        <v>846</v>
      </c>
    </row>
    <row r="359" spans="1:11" ht="105" x14ac:dyDescent="0.25">
      <c r="A359" t="s">
        <v>2173</v>
      </c>
      <c r="B359" t="s">
        <v>78</v>
      </c>
      <c r="C359" t="s">
        <v>2174</v>
      </c>
      <c r="D359" t="s">
        <v>2175</v>
      </c>
      <c r="E359" t="s">
        <v>2176</v>
      </c>
      <c r="F359">
        <v>3</v>
      </c>
      <c r="G359">
        <v>3</v>
      </c>
      <c r="H359">
        <v>3</v>
      </c>
      <c r="I359" s="1" t="s">
        <v>2177</v>
      </c>
      <c r="J359" s="1" t="s">
        <v>2178</v>
      </c>
      <c r="K359" s="1" t="s">
        <v>2179</v>
      </c>
    </row>
    <row r="360" spans="1:11" ht="45" x14ac:dyDescent="0.25">
      <c r="A360" t="s">
        <v>2180</v>
      </c>
      <c r="B360" t="s">
        <v>35</v>
      </c>
      <c r="C360" t="s">
        <v>2181</v>
      </c>
      <c r="D360" t="s">
        <v>591</v>
      </c>
      <c r="E360" t="s">
        <v>150</v>
      </c>
      <c r="F360">
        <v>1</v>
      </c>
      <c r="G360">
        <v>1</v>
      </c>
      <c r="H360">
        <v>0</v>
      </c>
      <c r="I360" s="1" t="s">
        <v>68</v>
      </c>
      <c r="J360" s="1" t="s">
        <v>2182</v>
      </c>
    </row>
    <row r="361" spans="1:11" ht="90" x14ac:dyDescent="0.25">
      <c r="A361" t="s">
        <v>2183</v>
      </c>
      <c r="B361" t="s">
        <v>35</v>
      </c>
      <c r="C361" t="s">
        <v>2184</v>
      </c>
      <c r="D361" t="s">
        <v>2185</v>
      </c>
      <c r="E361" t="s">
        <v>2186</v>
      </c>
      <c r="F361">
        <v>2</v>
      </c>
      <c r="G361">
        <v>2</v>
      </c>
      <c r="H361">
        <v>1</v>
      </c>
      <c r="I361" s="1" t="s">
        <v>2187</v>
      </c>
      <c r="J361" s="1" t="s">
        <v>2188</v>
      </c>
      <c r="K361" s="1" t="s">
        <v>2189</v>
      </c>
    </row>
    <row r="362" spans="1:11" ht="135" x14ac:dyDescent="0.25">
      <c r="A362" t="s">
        <v>2190</v>
      </c>
      <c r="B362" t="s">
        <v>35</v>
      </c>
      <c r="C362" t="s">
        <v>2191</v>
      </c>
      <c r="D362" t="s">
        <v>2192</v>
      </c>
      <c r="E362" t="s">
        <v>2193</v>
      </c>
      <c r="F362">
        <v>4</v>
      </c>
      <c r="G362">
        <v>4</v>
      </c>
      <c r="H362">
        <v>2</v>
      </c>
      <c r="I362" s="1" t="s">
        <v>2194</v>
      </c>
      <c r="J362" s="1" t="s">
        <v>2195</v>
      </c>
      <c r="K362" s="1" t="s">
        <v>2196</v>
      </c>
    </row>
    <row r="363" spans="1:11" ht="165" x14ac:dyDescent="0.25">
      <c r="A363" t="s">
        <v>2197</v>
      </c>
      <c r="B363" t="s">
        <v>35</v>
      </c>
      <c r="C363" t="s">
        <v>2198</v>
      </c>
      <c r="D363" t="s">
        <v>2199</v>
      </c>
      <c r="E363" t="s">
        <v>2200</v>
      </c>
      <c r="F363">
        <v>4</v>
      </c>
      <c r="G363">
        <v>7</v>
      </c>
      <c r="H363">
        <v>3</v>
      </c>
      <c r="I363" s="1" t="s">
        <v>2201</v>
      </c>
      <c r="J363" s="1" t="s">
        <v>2202</v>
      </c>
      <c r="K363" s="1" t="s">
        <v>2203</v>
      </c>
    </row>
    <row r="364" spans="1:11" ht="105" x14ac:dyDescent="0.25">
      <c r="A364" t="s">
        <v>2204</v>
      </c>
      <c r="B364" t="s">
        <v>35</v>
      </c>
      <c r="C364" t="s">
        <v>2205</v>
      </c>
      <c r="D364" t="s">
        <v>2206</v>
      </c>
      <c r="E364" t="s">
        <v>2207</v>
      </c>
      <c r="F364">
        <v>3</v>
      </c>
      <c r="G364">
        <v>5</v>
      </c>
      <c r="H364">
        <v>2</v>
      </c>
      <c r="I364" s="1" t="s">
        <v>2208</v>
      </c>
      <c r="J364" s="1" t="s">
        <v>2209</v>
      </c>
      <c r="K364" s="1" t="s">
        <v>2210</v>
      </c>
    </row>
    <row r="365" spans="1:11" ht="285" x14ac:dyDescent="0.25">
      <c r="A365" t="s">
        <v>2211</v>
      </c>
      <c r="B365" t="s">
        <v>35</v>
      </c>
      <c r="C365" t="s">
        <v>2212</v>
      </c>
      <c r="D365" t="s">
        <v>2213</v>
      </c>
      <c r="E365" t="s">
        <v>2214</v>
      </c>
      <c r="F365">
        <v>7</v>
      </c>
      <c r="G365">
        <v>12</v>
      </c>
      <c r="H365">
        <v>5</v>
      </c>
      <c r="I365" s="1" t="s">
        <v>2215</v>
      </c>
      <c r="J365" s="1" t="s">
        <v>2216</v>
      </c>
      <c r="K365" s="1" t="s">
        <v>2217</v>
      </c>
    </row>
    <row r="366" spans="1:11" ht="75" x14ac:dyDescent="0.25">
      <c r="A366" t="s">
        <v>2218</v>
      </c>
      <c r="B366" t="s">
        <v>35</v>
      </c>
      <c r="C366" t="s">
        <v>2219</v>
      </c>
      <c r="D366" t="s">
        <v>2220</v>
      </c>
      <c r="E366" t="s">
        <v>546</v>
      </c>
      <c r="F366">
        <v>2</v>
      </c>
      <c r="G366">
        <v>2</v>
      </c>
      <c r="H366">
        <v>1</v>
      </c>
      <c r="I366" s="1" t="s">
        <v>678</v>
      </c>
      <c r="J366" s="1" t="s">
        <v>2221</v>
      </c>
      <c r="K366" s="1" t="s">
        <v>2222</v>
      </c>
    </row>
    <row r="367" spans="1:11" ht="90" x14ac:dyDescent="0.25">
      <c r="A367" t="s">
        <v>2223</v>
      </c>
      <c r="B367" t="s">
        <v>35</v>
      </c>
      <c r="C367" t="s">
        <v>2224</v>
      </c>
      <c r="D367" t="s">
        <v>2225</v>
      </c>
      <c r="E367" t="s">
        <v>839</v>
      </c>
      <c r="F367">
        <v>2</v>
      </c>
      <c r="G367">
        <v>2</v>
      </c>
      <c r="H367">
        <v>1</v>
      </c>
      <c r="I367" s="1" t="s">
        <v>597</v>
      </c>
      <c r="J367" s="1" t="s">
        <v>2226</v>
      </c>
      <c r="K367" s="1" t="s">
        <v>842</v>
      </c>
    </row>
    <row r="368" spans="1:11" ht="135" x14ac:dyDescent="0.25">
      <c r="A368" t="s">
        <v>2227</v>
      </c>
      <c r="B368" t="s">
        <v>35</v>
      </c>
      <c r="C368" t="s">
        <v>2228</v>
      </c>
      <c r="D368" t="s">
        <v>2229</v>
      </c>
      <c r="E368" t="s">
        <v>2230</v>
      </c>
      <c r="F368">
        <v>4</v>
      </c>
      <c r="G368">
        <v>5</v>
      </c>
      <c r="H368">
        <v>3</v>
      </c>
      <c r="I368" s="1" t="s">
        <v>2231</v>
      </c>
      <c r="J368" s="1" t="s">
        <v>2232</v>
      </c>
      <c r="K368" s="1" t="s">
        <v>2233</v>
      </c>
    </row>
    <row r="369" spans="1:11" ht="135" x14ac:dyDescent="0.25">
      <c r="A369" t="s">
        <v>2234</v>
      </c>
      <c r="B369" t="s">
        <v>35</v>
      </c>
      <c r="C369" t="s">
        <v>2235</v>
      </c>
      <c r="D369" t="s">
        <v>2236</v>
      </c>
      <c r="E369" t="s">
        <v>2237</v>
      </c>
      <c r="F369">
        <v>3</v>
      </c>
      <c r="G369">
        <v>5</v>
      </c>
      <c r="H369">
        <v>2</v>
      </c>
      <c r="I369" s="1" t="s">
        <v>2238</v>
      </c>
      <c r="J369" s="1" t="s">
        <v>2239</v>
      </c>
      <c r="K369" s="1" t="s">
        <v>2240</v>
      </c>
    </row>
    <row r="370" spans="1:11" ht="180" x14ac:dyDescent="0.25">
      <c r="A370" t="s">
        <v>2241</v>
      </c>
      <c r="B370" t="s">
        <v>35</v>
      </c>
      <c r="C370" t="s">
        <v>2242</v>
      </c>
      <c r="D370" t="s">
        <v>2243</v>
      </c>
      <c r="E370" t="s">
        <v>2244</v>
      </c>
      <c r="F370">
        <v>4</v>
      </c>
      <c r="G370">
        <v>9</v>
      </c>
      <c r="H370">
        <v>4</v>
      </c>
      <c r="I370" s="1" t="s">
        <v>2245</v>
      </c>
      <c r="J370" s="1" t="s">
        <v>2246</v>
      </c>
      <c r="K370" s="1" t="s">
        <v>2247</v>
      </c>
    </row>
    <row r="371" spans="1:11" ht="75" x14ac:dyDescent="0.25">
      <c r="A371" t="s">
        <v>2248</v>
      </c>
      <c r="B371" t="s">
        <v>35</v>
      </c>
      <c r="C371" t="s">
        <v>2249</v>
      </c>
      <c r="D371" t="s">
        <v>2250</v>
      </c>
      <c r="E371" t="s">
        <v>826</v>
      </c>
      <c r="F371">
        <v>2</v>
      </c>
      <c r="G371">
        <v>2</v>
      </c>
      <c r="H371">
        <v>1</v>
      </c>
      <c r="I371" s="1" t="s">
        <v>2251</v>
      </c>
      <c r="J371" s="1" t="s">
        <v>2252</v>
      </c>
      <c r="K371" s="1" t="s">
        <v>2253</v>
      </c>
    </row>
    <row r="372" spans="1:11" ht="120" x14ac:dyDescent="0.25">
      <c r="A372" t="s">
        <v>2254</v>
      </c>
      <c r="B372" t="s">
        <v>35</v>
      </c>
      <c r="C372" t="s">
        <v>2255</v>
      </c>
      <c r="D372" t="s">
        <v>2256</v>
      </c>
      <c r="E372" t="s">
        <v>2257</v>
      </c>
      <c r="F372">
        <v>4</v>
      </c>
      <c r="G372">
        <v>4</v>
      </c>
      <c r="H372">
        <v>2</v>
      </c>
      <c r="I372" s="1" t="s">
        <v>2258</v>
      </c>
      <c r="J372" s="1" t="s">
        <v>2259</v>
      </c>
      <c r="K372" s="1" t="s">
        <v>2260</v>
      </c>
    </row>
    <row r="373" spans="1:11" ht="105" x14ac:dyDescent="0.25">
      <c r="A373" t="s">
        <v>2261</v>
      </c>
      <c r="B373" t="s">
        <v>35</v>
      </c>
      <c r="C373" t="s">
        <v>2262</v>
      </c>
      <c r="D373" t="s">
        <v>2263</v>
      </c>
      <c r="E373" t="s">
        <v>2264</v>
      </c>
      <c r="F373">
        <v>3</v>
      </c>
      <c r="G373">
        <v>2</v>
      </c>
      <c r="H373">
        <v>2</v>
      </c>
      <c r="I373" s="1" t="s">
        <v>2208</v>
      </c>
      <c r="J373" s="1" t="s">
        <v>2265</v>
      </c>
      <c r="K373" s="1" t="s">
        <v>2266</v>
      </c>
    </row>
    <row r="374" spans="1:11" ht="60" x14ac:dyDescent="0.25">
      <c r="A374" t="s">
        <v>2267</v>
      </c>
      <c r="B374" t="s">
        <v>35</v>
      </c>
      <c r="C374" t="s">
        <v>2268</v>
      </c>
      <c r="D374" t="s">
        <v>2157</v>
      </c>
      <c r="E374" t="s">
        <v>2158</v>
      </c>
      <c r="F374">
        <v>2</v>
      </c>
      <c r="G374">
        <v>2</v>
      </c>
      <c r="H374">
        <v>1</v>
      </c>
      <c r="I374" s="1" t="s">
        <v>168</v>
      </c>
      <c r="J374" s="1" t="s">
        <v>2269</v>
      </c>
      <c r="K374" s="1" t="s">
        <v>2270</v>
      </c>
    </row>
    <row r="375" spans="1:11" ht="105" x14ac:dyDescent="0.25">
      <c r="A375" t="s">
        <v>2271</v>
      </c>
      <c r="B375" t="s">
        <v>35</v>
      </c>
      <c r="C375" t="s">
        <v>2272</v>
      </c>
      <c r="D375" t="s">
        <v>2273</v>
      </c>
      <c r="E375" t="s">
        <v>1169</v>
      </c>
      <c r="F375">
        <v>3</v>
      </c>
      <c r="G375">
        <v>3</v>
      </c>
      <c r="H375">
        <v>2</v>
      </c>
      <c r="I375" s="1" t="s">
        <v>2274</v>
      </c>
      <c r="J375" s="1" t="s">
        <v>2275</v>
      </c>
      <c r="K375" s="1" t="s">
        <v>2276</v>
      </c>
    </row>
    <row r="376" spans="1:11" ht="30" x14ac:dyDescent="0.25">
      <c r="A376" t="s">
        <v>2277</v>
      </c>
      <c r="B376" t="s">
        <v>35</v>
      </c>
      <c r="C376" t="s">
        <v>2278</v>
      </c>
      <c r="D376" t="s">
        <v>2279</v>
      </c>
      <c r="E376" t="s">
        <v>150</v>
      </c>
      <c r="F376">
        <v>1</v>
      </c>
      <c r="G376">
        <v>1</v>
      </c>
      <c r="H376">
        <v>0</v>
      </c>
      <c r="I376" s="1" t="s">
        <v>1010</v>
      </c>
      <c r="J376" s="1" t="s">
        <v>2280</v>
      </c>
    </row>
    <row r="377" spans="1:11" ht="285" x14ac:dyDescent="0.25">
      <c r="A377" t="s">
        <v>2281</v>
      </c>
      <c r="B377" t="s">
        <v>35</v>
      </c>
      <c r="C377" t="s">
        <v>2282</v>
      </c>
      <c r="D377" t="s">
        <v>2283</v>
      </c>
      <c r="E377" t="s">
        <v>2284</v>
      </c>
      <c r="F377">
        <v>6</v>
      </c>
      <c r="G377">
        <v>13</v>
      </c>
      <c r="H377">
        <v>5</v>
      </c>
      <c r="I377" s="1" t="s">
        <v>2285</v>
      </c>
      <c r="J377" s="1" t="s">
        <v>2286</v>
      </c>
      <c r="K377" s="1" t="s">
        <v>2287</v>
      </c>
    </row>
    <row r="378" spans="1:11" ht="60" x14ac:dyDescent="0.25">
      <c r="A378" t="s">
        <v>2288</v>
      </c>
      <c r="B378" t="s">
        <v>35</v>
      </c>
      <c r="C378" t="s">
        <v>2289</v>
      </c>
      <c r="D378" t="s">
        <v>2290</v>
      </c>
      <c r="E378" t="s">
        <v>2291</v>
      </c>
      <c r="F378">
        <v>2</v>
      </c>
      <c r="G378">
        <v>3</v>
      </c>
      <c r="H378">
        <v>1</v>
      </c>
      <c r="I378" s="1" t="s">
        <v>2292</v>
      </c>
      <c r="J378" s="1" t="s">
        <v>2293</v>
      </c>
      <c r="K378" s="1" t="s">
        <v>2294</v>
      </c>
    </row>
    <row r="379" spans="1:11" ht="75" x14ac:dyDescent="0.25">
      <c r="A379" t="s">
        <v>2295</v>
      </c>
      <c r="B379" t="s">
        <v>35</v>
      </c>
      <c r="C379" t="s">
        <v>2296</v>
      </c>
      <c r="D379" t="s">
        <v>2297</v>
      </c>
      <c r="E379" t="s">
        <v>1728</v>
      </c>
      <c r="F379">
        <v>2</v>
      </c>
      <c r="G379">
        <v>2</v>
      </c>
      <c r="H379">
        <v>1</v>
      </c>
      <c r="I379" s="1" t="s">
        <v>2298</v>
      </c>
      <c r="J379" s="1" t="s">
        <v>2299</v>
      </c>
      <c r="K379" s="1" t="s">
        <v>2300</v>
      </c>
    </row>
    <row r="380" spans="1:11" ht="150" x14ac:dyDescent="0.25">
      <c r="A380" t="s">
        <v>2301</v>
      </c>
      <c r="B380" t="s">
        <v>35</v>
      </c>
      <c r="C380" t="s">
        <v>2302</v>
      </c>
      <c r="D380" t="s">
        <v>2303</v>
      </c>
      <c r="E380" t="s">
        <v>2304</v>
      </c>
      <c r="F380">
        <v>6</v>
      </c>
      <c r="G380">
        <v>8</v>
      </c>
      <c r="H380">
        <v>5</v>
      </c>
      <c r="I380" s="1" t="s">
        <v>2305</v>
      </c>
      <c r="J380" s="1" t="s">
        <v>2306</v>
      </c>
      <c r="K380" s="1" t="s">
        <v>2307</v>
      </c>
    </row>
    <row r="381" spans="1:11" ht="105" x14ac:dyDescent="0.25">
      <c r="A381" t="s">
        <v>2308</v>
      </c>
      <c r="B381" t="s">
        <v>35</v>
      </c>
      <c r="C381" t="s">
        <v>2309</v>
      </c>
      <c r="D381" t="s">
        <v>2310</v>
      </c>
      <c r="E381" t="s">
        <v>484</v>
      </c>
      <c r="F381">
        <v>3</v>
      </c>
      <c r="G381">
        <v>3</v>
      </c>
      <c r="H381">
        <v>2</v>
      </c>
      <c r="I381" s="1" t="s">
        <v>2311</v>
      </c>
      <c r="J381" s="1" t="s">
        <v>2312</v>
      </c>
      <c r="K381" s="1" t="s">
        <v>2313</v>
      </c>
    </row>
    <row r="382" spans="1:11" ht="75" x14ac:dyDescent="0.25">
      <c r="A382" t="s">
        <v>2314</v>
      </c>
      <c r="B382" t="s">
        <v>35</v>
      </c>
      <c r="C382" t="s">
        <v>2315</v>
      </c>
      <c r="D382" t="s">
        <v>2316</v>
      </c>
      <c r="E382" t="s">
        <v>2317</v>
      </c>
      <c r="F382">
        <v>2</v>
      </c>
      <c r="G382">
        <v>2</v>
      </c>
      <c r="H382">
        <v>1</v>
      </c>
      <c r="I382" s="1" t="s">
        <v>2318</v>
      </c>
      <c r="J382" s="1" t="s">
        <v>2319</v>
      </c>
      <c r="K382" s="1" t="s">
        <v>2320</v>
      </c>
    </row>
    <row r="383" spans="1:11" ht="120" x14ac:dyDescent="0.25">
      <c r="A383" t="s">
        <v>2321</v>
      </c>
      <c r="B383" t="s">
        <v>35</v>
      </c>
      <c r="C383" t="s">
        <v>2322</v>
      </c>
      <c r="D383" t="s">
        <v>2323</v>
      </c>
      <c r="E383" t="s">
        <v>2324</v>
      </c>
      <c r="F383">
        <v>4</v>
      </c>
      <c r="G383">
        <v>5</v>
      </c>
      <c r="H383">
        <v>3</v>
      </c>
      <c r="I383" s="1" t="s">
        <v>2325</v>
      </c>
      <c r="J383" s="1" t="s">
        <v>2326</v>
      </c>
      <c r="K383" s="1" t="s">
        <v>2327</v>
      </c>
    </row>
    <row r="384" spans="1:11" ht="165" x14ac:dyDescent="0.25">
      <c r="A384" t="s">
        <v>2328</v>
      </c>
      <c r="B384" t="s">
        <v>35</v>
      </c>
      <c r="C384" t="s">
        <v>2329</v>
      </c>
      <c r="D384" t="s">
        <v>2330</v>
      </c>
      <c r="E384" t="s">
        <v>2331</v>
      </c>
      <c r="F384">
        <v>5</v>
      </c>
      <c r="G384">
        <v>7</v>
      </c>
      <c r="H384">
        <v>4</v>
      </c>
      <c r="I384" s="1" t="s">
        <v>2332</v>
      </c>
      <c r="J384" s="1" t="s">
        <v>2333</v>
      </c>
      <c r="K384" s="1" t="s">
        <v>2334</v>
      </c>
    </row>
    <row r="385" spans="1:11" ht="165" x14ac:dyDescent="0.25">
      <c r="A385" t="s">
        <v>2335</v>
      </c>
      <c r="B385" t="s">
        <v>35</v>
      </c>
      <c r="C385" t="s">
        <v>2336</v>
      </c>
      <c r="D385" t="s">
        <v>2337</v>
      </c>
      <c r="E385" t="s">
        <v>2338</v>
      </c>
      <c r="F385">
        <v>5</v>
      </c>
      <c r="G385">
        <v>7</v>
      </c>
      <c r="H385">
        <v>4</v>
      </c>
      <c r="I385" s="1" t="s">
        <v>2339</v>
      </c>
      <c r="J385" s="1" t="s">
        <v>2340</v>
      </c>
      <c r="K385" s="1" t="s">
        <v>2341</v>
      </c>
    </row>
    <row r="386" spans="1:11" ht="60" x14ac:dyDescent="0.25">
      <c r="A386" t="s">
        <v>2342</v>
      </c>
      <c r="B386" t="s">
        <v>35</v>
      </c>
      <c r="C386" t="s">
        <v>2343</v>
      </c>
      <c r="D386" t="s">
        <v>2344</v>
      </c>
      <c r="E386" t="s">
        <v>2345</v>
      </c>
      <c r="F386">
        <v>2</v>
      </c>
      <c r="G386">
        <v>3</v>
      </c>
      <c r="H386">
        <v>1</v>
      </c>
      <c r="I386" s="1" t="s">
        <v>2346</v>
      </c>
      <c r="J386" s="1" t="s">
        <v>2347</v>
      </c>
      <c r="K386" s="1" t="s">
        <v>2348</v>
      </c>
    </row>
    <row r="387" spans="1:11" ht="105" x14ac:dyDescent="0.25">
      <c r="A387" t="s">
        <v>2349</v>
      </c>
      <c r="B387" t="s">
        <v>35</v>
      </c>
      <c r="C387" t="s">
        <v>2350</v>
      </c>
      <c r="D387" t="s">
        <v>2351</v>
      </c>
      <c r="E387" t="s">
        <v>2352</v>
      </c>
      <c r="F387">
        <v>3</v>
      </c>
      <c r="G387">
        <v>5</v>
      </c>
      <c r="H387">
        <v>2</v>
      </c>
      <c r="I387" s="1" t="s">
        <v>2353</v>
      </c>
      <c r="J387" s="1" t="s">
        <v>2354</v>
      </c>
      <c r="K387" s="1" t="s">
        <v>2355</v>
      </c>
    </row>
    <row r="388" spans="1:11" ht="60" x14ac:dyDescent="0.25">
      <c r="A388" t="s">
        <v>2356</v>
      </c>
      <c r="B388" t="s">
        <v>35</v>
      </c>
      <c r="C388" t="s">
        <v>2357</v>
      </c>
      <c r="D388" t="s">
        <v>591</v>
      </c>
      <c r="E388" t="s">
        <v>150</v>
      </c>
      <c r="F388">
        <v>1</v>
      </c>
      <c r="G388">
        <v>2</v>
      </c>
      <c r="H388">
        <v>0</v>
      </c>
      <c r="I388" s="1" t="s">
        <v>68</v>
      </c>
      <c r="J388" s="1" t="s">
        <v>2358</v>
      </c>
    </row>
    <row r="389" spans="1:11" ht="60" x14ac:dyDescent="0.25">
      <c r="A389" t="s">
        <v>2359</v>
      </c>
      <c r="B389" t="s">
        <v>35</v>
      </c>
      <c r="C389" t="s">
        <v>2360</v>
      </c>
      <c r="D389" t="s">
        <v>2361</v>
      </c>
      <c r="E389" t="s">
        <v>2362</v>
      </c>
      <c r="F389">
        <v>2</v>
      </c>
      <c r="G389">
        <v>2</v>
      </c>
      <c r="H389">
        <v>1</v>
      </c>
      <c r="I389" s="1" t="s">
        <v>257</v>
      </c>
      <c r="J389" s="1" t="s">
        <v>2363</v>
      </c>
      <c r="K389" s="1" t="s">
        <v>2364</v>
      </c>
    </row>
    <row r="390" spans="1:11" ht="75" x14ac:dyDescent="0.25">
      <c r="A390" t="s">
        <v>2365</v>
      </c>
      <c r="B390" t="s">
        <v>35</v>
      </c>
      <c r="C390" t="s">
        <v>2366</v>
      </c>
      <c r="D390" t="s">
        <v>2367</v>
      </c>
      <c r="E390" t="s">
        <v>610</v>
      </c>
      <c r="F390">
        <v>2</v>
      </c>
      <c r="G390">
        <v>2</v>
      </c>
      <c r="H390">
        <v>1</v>
      </c>
      <c r="I390" s="1" t="s">
        <v>678</v>
      </c>
      <c r="J390" s="1" t="s">
        <v>2368</v>
      </c>
      <c r="K390" s="1" t="s">
        <v>2369</v>
      </c>
    </row>
    <row r="391" spans="1:11" ht="270" x14ac:dyDescent="0.25">
      <c r="A391" t="s">
        <v>2370</v>
      </c>
      <c r="B391" t="s">
        <v>35</v>
      </c>
      <c r="C391" t="s">
        <v>2371</v>
      </c>
      <c r="D391" t="s">
        <v>2372</v>
      </c>
      <c r="E391" t="s">
        <v>2373</v>
      </c>
      <c r="F391">
        <v>5</v>
      </c>
      <c r="G391">
        <v>12</v>
      </c>
      <c r="H391">
        <v>5</v>
      </c>
      <c r="I391" s="1" t="s">
        <v>2374</v>
      </c>
      <c r="J391" s="1" t="s">
        <v>2375</v>
      </c>
      <c r="K391" s="1" t="s">
        <v>2376</v>
      </c>
    </row>
    <row r="392" spans="1:11" ht="135" x14ac:dyDescent="0.25">
      <c r="A392" t="s">
        <v>2377</v>
      </c>
      <c r="B392" t="s">
        <v>35</v>
      </c>
      <c r="C392" t="s">
        <v>2378</v>
      </c>
      <c r="D392" t="s">
        <v>1431</v>
      </c>
      <c r="E392" t="s">
        <v>155</v>
      </c>
      <c r="F392">
        <v>3</v>
      </c>
      <c r="G392">
        <v>5</v>
      </c>
      <c r="H392">
        <v>2</v>
      </c>
      <c r="I392" s="1" t="s">
        <v>2379</v>
      </c>
      <c r="J392" s="1" t="s">
        <v>2380</v>
      </c>
      <c r="K392" s="1" t="s">
        <v>2381</v>
      </c>
    </row>
    <row r="393" spans="1:11" ht="135" x14ac:dyDescent="0.25">
      <c r="A393" t="s">
        <v>2382</v>
      </c>
      <c r="B393" t="s">
        <v>35</v>
      </c>
      <c r="C393" t="s">
        <v>2383</v>
      </c>
      <c r="D393" t="s">
        <v>2384</v>
      </c>
      <c r="E393" t="s">
        <v>2385</v>
      </c>
      <c r="F393">
        <v>4</v>
      </c>
      <c r="G393">
        <v>4</v>
      </c>
      <c r="H393">
        <v>3</v>
      </c>
      <c r="I393" s="1" t="s">
        <v>2386</v>
      </c>
      <c r="J393" s="1" t="s">
        <v>2387</v>
      </c>
      <c r="K393" s="1" t="s">
        <v>2388</v>
      </c>
    </row>
    <row r="394" spans="1:11" ht="105" x14ac:dyDescent="0.25">
      <c r="A394" t="s">
        <v>2389</v>
      </c>
      <c r="B394" t="s">
        <v>35</v>
      </c>
      <c r="C394" t="s">
        <v>2390</v>
      </c>
      <c r="D394" t="s">
        <v>2391</v>
      </c>
      <c r="E394" t="s">
        <v>2392</v>
      </c>
      <c r="F394">
        <v>3</v>
      </c>
      <c r="G394">
        <v>4</v>
      </c>
      <c r="H394">
        <v>2</v>
      </c>
      <c r="I394" s="1" t="s">
        <v>2393</v>
      </c>
      <c r="J394" s="1" t="s">
        <v>2394</v>
      </c>
      <c r="K394" s="1" t="s">
        <v>2395</v>
      </c>
    </row>
    <row r="395" spans="1:11" ht="165" x14ac:dyDescent="0.25">
      <c r="A395" t="s">
        <v>2396</v>
      </c>
      <c r="B395" t="s">
        <v>35</v>
      </c>
      <c r="C395" t="s">
        <v>2397</v>
      </c>
      <c r="D395" t="s">
        <v>2398</v>
      </c>
      <c r="E395" t="s">
        <v>2399</v>
      </c>
      <c r="F395">
        <v>5</v>
      </c>
      <c r="G395">
        <v>9</v>
      </c>
      <c r="H395">
        <v>4</v>
      </c>
      <c r="I395" s="1" t="s">
        <v>2400</v>
      </c>
      <c r="J395" s="1" t="s">
        <v>2401</v>
      </c>
      <c r="K395" s="1" t="s">
        <v>2402</v>
      </c>
    </row>
    <row r="396" spans="1:11" ht="45" x14ac:dyDescent="0.25">
      <c r="A396" t="s">
        <v>2403</v>
      </c>
      <c r="B396" t="s">
        <v>35</v>
      </c>
      <c r="C396" t="s">
        <v>2404</v>
      </c>
      <c r="D396" t="s">
        <v>1009</v>
      </c>
      <c r="E396" t="s">
        <v>1009</v>
      </c>
      <c r="F396">
        <v>1</v>
      </c>
      <c r="G396">
        <v>1</v>
      </c>
      <c r="H396">
        <v>0</v>
      </c>
      <c r="I396" s="1" t="s">
        <v>2405</v>
      </c>
      <c r="J396" s="1" t="s">
        <v>2406</v>
      </c>
    </row>
    <row r="397" spans="1:11" ht="45" x14ac:dyDescent="0.25">
      <c r="A397" t="s">
        <v>2407</v>
      </c>
      <c r="B397" t="s">
        <v>35</v>
      </c>
      <c r="C397" t="s">
        <v>2408</v>
      </c>
      <c r="D397" t="s">
        <v>2409</v>
      </c>
      <c r="E397" t="s">
        <v>2410</v>
      </c>
      <c r="F397">
        <v>2</v>
      </c>
      <c r="G397">
        <v>2</v>
      </c>
      <c r="H397">
        <v>1</v>
      </c>
      <c r="I397" s="1" t="s">
        <v>2411</v>
      </c>
      <c r="J397" s="1" t="s">
        <v>2412</v>
      </c>
      <c r="K397" s="1" t="s">
        <v>2413</v>
      </c>
    </row>
    <row r="398" spans="1:11" ht="75" x14ac:dyDescent="0.25">
      <c r="A398" t="s">
        <v>2414</v>
      </c>
      <c r="B398" t="s">
        <v>35</v>
      </c>
      <c r="C398" t="s">
        <v>2415</v>
      </c>
      <c r="D398" t="s">
        <v>2416</v>
      </c>
      <c r="E398" t="s">
        <v>2417</v>
      </c>
      <c r="F398">
        <v>2</v>
      </c>
      <c r="G398">
        <v>2</v>
      </c>
      <c r="H398">
        <v>1</v>
      </c>
      <c r="I398" s="1" t="s">
        <v>2418</v>
      </c>
      <c r="J398" s="1" t="s">
        <v>2419</v>
      </c>
      <c r="K398" s="1" t="s">
        <v>2420</v>
      </c>
    </row>
    <row r="399" spans="1:11" ht="75" x14ac:dyDescent="0.25">
      <c r="A399" t="s">
        <v>2421</v>
      </c>
      <c r="B399" t="s">
        <v>35</v>
      </c>
      <c r="C399" t="s">
        <v>2422</v>
      </c>
      <c r="D399" t="s">
        <v>2423</v>
      </c>
      <c r="E399" t="s">
        <v>610</v>
      </c>
      <c r="F399">
        <v>2</v>
      </c>
      <c r="G399">
        <v>2</v>
      </c>
      <c r="H399">
        <v>1</v>
      </c>
      <c r="I399" s="1" t="s">
        <v>2424</v>
      </c>
      <c r="J399" s="1" t="s">
        <v>2425</v>
      </c>
      <c r="K399" s="1" t="s">
        <v>2426</v>
      </c>
    </row>
    <row r="400" spans="1:11" ht="45" x14ac:dyDescent="0.25">
      <c r="A400" t="s">
        <v>2427</v>
      </c>
      <c r="B400" t="s">
        <v>35</v>
      </c>
      <c r="C400" t="s">
        <v>2428</v>
      </c>
      <c r="D400" t="s">
        <v>2429</v>
      </c>
      <c r="E400" t="s">
        <v>150</v>
      </c>
      <c r="F400">
        <v>1</v>
      </c>
      <c r="G400">
        <v>1</v>
      </c>
      <c r="H400">
        <v>0</v>
      </c>
      <c r="I400" s="1" t="s">
        <v>68</v>
      </c>
      <c r="J400" s="1" t="s">
        <v>2430</v>
      </c>
    </row>
    <row r="401" spans="1:11" ht="105" x14ac:dyDescent="0.25">
      <c r="A401" t="s">
        <v>2431</v>
      </c>
      <c r="B401" t="s">
        <v>35</v>
      </c>
      <c r="C401" t="s">
        <v>2432</v>
      </c>
      <c r="D401" t="s">
        <v>2433</v>
      </c>
      <c r="E401" t="s">
        <v>2434</v>
      </c>
      <c r="F401">
        <v>3</v>
      </c>
      <c r="G401">
        <v>5</v>
      </c>
      <c r="H401">
        <v>2</v>
      </c>
      <c r="I401" s="1" t="s">
        <v>2435</v>
      </c>
      <c r="J401" s="1" t="s">
        <v>2436</v>
      </c>
      <c r="K401" s="1" t="s">
        <v>2437</v>
      </c>
    </row>
    <row r="402" spans="1:11" ht="195" x14ac:dyDescent="0.25">
      <c r="A402" t="s">
        <v>2438</v>
      </c>
      <c r="B402" t="s">
        <v>35</v>
      </c>
      <c r="C402" t="s">
        <v>2439</v>
      </c>
      <c r="D402" t="s">
        <v>2440</v>
      </c>
      <c r="E402" t="s">
        <v>2441</v>
      </c>
      <c r="F402">
        <v>6</v>
      </c>
      <c r="G402">
        <v>7</v>
      </c>
      <c r="H402">
        <v>4</v>
      </c>
      <c r="I402" s="1" t="s">
        <v>2442</v>
      </c>
      <c r="J402" s="1" t="s">
        <v>2443</v>
      </c>
      <c r="K402" s="1" t="s">
        <v>2444</v>
      </c>
    </row>
    <row r="403" spans="1:11" ht="45" x14ac:dyDescent="0.25">
      <c r="A403" t="s">
        <v>2445</v>
      </c>
      <c r="B403" t="s">
        <v>35</v>
      </c>
      <c r="C403" t="s">
        <v>2446</v>
      </c>
      <c r="D403" t="s">
        <v>1567</v>
      </c>
      <c r="E403" t="s">
        <v>150</v>
      </c>
      <c r="F403">
        <v>1</v>
      </c>
      <c r="G403">
        <v>1</v>
      </c>
      <c r="H403">
        <v>0</v>
      </c>
      <c r="I403" s="1" t="s">
        <v>68</v>
      </c>
      <c r="J403" s="1" t="s">
        <v>2447</v>
      </c>
    </row>
    <row r="404" spans="1:11" ht="90" x14ac:dyDescent="0.25">
      <c r="A404" t="s">
        <v>2448</v>
      </c>
      <c r="B404" t="s">
        <v>35</v>
      </c>
      <c r="C404" t="s">
        <v>2449</v>
      </c>
      <c r="D404" t="s">
        <v>953</v>
      </c>
      <c r="E404" t="s">
        <v>698</v>
      </c>
      <c r="F404">
        <v>2</v>
      </c>
      <c r="G404">
        <v>2</v>
      </c>
      <c r="H404">
        <v>2</v>
      </c>
      <c r="I404" s="1" t="s">
        <v>2450</v>
      </c>
      <c r="J404" s="1" t="s">
        <v>2451</v>
      </c>
      <c r="K404" s="1" t="s">
        <v>2452</v>
      </c>
    </row>
    <row r="405" spans="1:11" ht="75" x14ac:dyDescent="0.25">
      <c r="A405" t="s">
        <v>2453</v>
      </c>
      <c r="B405" t="s">
        <v>35</v>
      </c>
      <c r="C405" t="s">
        <v>2454</v>
      </c>
      <c r="D405" t="s">
        <v>2455</v>
      </c>
      <c r="E405" t="s">
        <v>2456</v>
      </c>
      <c r="F405">
        <v>2</v>
      </c>
      <c r="G405">
        <v>2</v>
      </c>
      <c r="H405">
        <v>1</v>
      </c>
      <c r="I405" s="1" t="s">
        <v>2457</v>
      </c>
      <c r="J405" s="1" t="s">
        <v>2458</v>
      </c>
      <c r="K405" s="1" t="s">
        <v>2459</v>
      </c>
    </row>
    <row r="406" spans="1:11" ht="90" x14ac:dyDescent="0.25">
      <c r="A406" t="s">
        <v>2460</v>
      </c>
      <c r="B406" t="s">
        <v>35</v>
      </c>
      <c r="C406" t="s">
        <v>2461</v>
      </c>
      <c r="D406" t="s">
        <v>2462</v>
      </c>
      <c r="E406" t="s">
        <v>155</v>
      </c>
      <c r="F406">
        <v>2</v>
      </c>
      <c r="G406">
        <v>3</v>
      </c>
      <c r="H406">
        <v>1</v>
      </c>
      <c r="I406" s="1" t="s">
        <v>2463</v>
      </c>
      <c r="J406" s="1" t="s">
        <v>2464</v>
      </c>
      <c r="K406" s="1" t="s">
        <v>2465</v>
      </c>
    </row>
    <row r="407" spans="1:11" ht="90" x14ac:dyDescent="0.25">
      <c r="A407" t="s">
        <v>2466</v>
      </c>
      <c r="B407" t="s">
        <v>35</v>
      </c>
      <c r="C407" t="s">
        <v>2467</v>
      </c>
      <c r="D407" t="s">
        <v>2468</v>
      </c>
      <c r="E407" t="s">
        <v>2469</v>
      </c>
      <c r="F407">
        <v>3</v>
      </c>
      <c r="G407">
        <v>4</v>
      </c>
      <c r="H407">
        <v>3</v>
      </c>
      <c r="I407" s="1" t="s">
        <v>2470</v>
      </c>
      <c r="J407" s="1" t="s">
        <v>2471</v>
      </c>
      <c r="K407" s="1" t="s">
        <v>2472</v>
      </c>
    </row>
    <row r="408" spans="1:11" ht="75" x14ac:dyDescent="0.25">
      <c r="A408" t="s">
        <v>2473</v>
      </c>
      <c r="B408" t="s">
        <v>35</v>
      </c>
      <c r="C408" t="s">
        <v>2474</v>
      </c>
      <c r="D408" t="s">
        <v>2475</v>
      </c>
      <c r="E408" t="s">
        <v>610</v>
      </c>
      <c r="F408">
        <v>2</v>
      </c>
      <c r="G408">
        <v>3</v>
      </c>
      <c r="H408">
        <v>1</v>
      </c>
      <c r="I408" s="1" t="s">
        <v>1691</v>
      </c>
      <c r="J408" s="1" t="s">
        <v>2476</v>
      </c>
      <c r="K408" s="1" t="s">
        <v>1693</v>
      </c>
    </row>
    <row r="409" spans="1:11" ht="150" x14ac:dyDescent="0.25">
      <c r="A409" t="s">
        <v>2477</v>
      </c>
      <c r="B409" t="s">
        <v>35</v>
      </c>
      <c r="C409" t="s">
        <v>2478</v>
      </c>
      <c r="D409" t="s">
        <v>2479</v>
      </c>
      <c r="E409" t="s">
        <v>2480</v>
      </c>
      <c r="F409">
        <v>5</v>
      </c>
      <c r="G409">
        <v>6</v>
      </c>
      <c r="H409">
        <v>5</v>
      </c>
      <c r="I409" s="1" t="s">
        <v>2481</v>
      </c>
      <c r="J409" s="1" t="s">
        <v>2482</v>
      </c>
      <c r="K409" s="1" t="s">
        <v>2483</v>
      </c>
    </row>
    <row r="410" spans="1:11" ht="165" x14ac:dyDescent="0.25">
      <c r="A410" t="s">
        <v>2484</v>
      </c>
      <c r="B410" t="s">
        <v>35</v>
      </c>
      <c r="C410" t="s">
        <v>2485</v>
      </c>
      <c r="D410" t="s">
        <v>2486</v>
      </c>
      <c r="E410" t="s">
        <v>2487</v>
      </c>
      <c r="F410">
        <v>4</v>
      </c>
      <c r="G410">
        <v>6</v>
      </c>
      <c r="H410">
        <v>4</v>
      </c>
      <c r="I410" s="1" t="s">
        <v>2488</v>
      </c>
      <c r="J410" s="1" t="s">
        <v>2489</v>
      </c>
      <c r="K410" s="1" t="s">
        <v>2490</v>
      </c>
    </row>
    <row r="411" spans="1:11" ht="180" x14ac:dyDescent="0.25">
      <c r="A411" t="s">
        <v>2491</v>
      </c>
      <c r="B411" t="s">
        <v>35</v>
      </c>
      <c r="C411" t="s">
        <v>2492</v>
      </c>
      <c r="D411" t="s">
        <v>2493</v>
      </c>
      <c r="E411" t="s">
        <v>2494</v>
      </c>
      <c r="F411">
        <v>6</v>
      </c>
      <c r="G411">
        <v>6</v>
      </c>
      <c r="H411">
        <v>4</v>
      </c>
      <c r="I411" s="1" t="s">
        <v>2495</v>
      </c>
      <c r="J411" s="1" t="s">
        <v>2496</v>
      </c>
      <c r="K411" s="1" t="s">
        <v>2497</v>
      </c>
    </row>
    <row r="412" spans="1:11" ht="105" x14ac:dyDescent="0.25">
      <c r="A412" t="s">
        <v>2498</v>
      </c>
      <c r="B412" t="s">
        <v>35</v>
      </c>
      <c r="C412" t="e">
        <f>- element size - number of details - complexity of shapes and contrasts</f>
        <v>#NAME?</v>
      </c>
      <c r="D412" t="s">
        <v>37</v>
      </c>
      <c r="E412" t="s">
        <v>38</v>
      </c>
      <c r="F412">
        <v>3</v>
      </c>
      <c r="G412">
        <v>4</v>
      </c>
      <c r="H412">
        <v>2</v>
      </c>
      <c r="I412" s="1" t="s">
        <v>39</v>
      </c>
      <c r="J412" s="1" t="s">
        <v>40</v>
      </c>
      <c r="K412" s="1" t="s">
        <v>41</v>
      </c>
    </row>
    <row r="413" spans="1:11" ht="120" x14ac:dyDescent="0.25">
      <c r="A413" t="s">
        <v>2499</v>
      </c>
      <c r="B413" t="s">
        <v>35</v>
      </c>
      <c r="C413" t="s">
        <v>2500</v>
      </c>
      <c r="D413" t="s">
        <v>2501</v>
      </c>
      <c r="E413" t="s">
        <v>114</v>
      </c>
      <c r="F413">
        <v>3</v>
      </c>
      <c r="G413">
        <v>2</v>
      </c>
      <c r="H413">
        <v>1</v>
      </c>
      <c r="I413" s="1" t="s">
        <v>471</v>
      </c>
      <c r="J413" s="1" t="s">
        <v>2502</v>
      </c>
      <c r="K413" s="1" t="s">
        <v>2503</v>
      </c>
    </row>
    <row r="414" spans="1:11" ht="75" x14ac:dyDescent="0.25">
      <c r="A414" t="s">
        <v>2504</v>
      </c>
      <c r="B414" t="s">
        <v>35</v>
      </c>
      <c r="D414" t="s">
        <v>2505</v>
      </c>
      <c r="E414" t="s">
        <v>150</v>
      </c>
      <c r="F414">
        <v>2</v>
      </c>
      <c r="G414">
        <v>2</v>
      </c>
      <c r="H414">
        <v>1</v>
      </c>
      <c r="I414" s="1" t="s">
        <v>2506</v>
      </c>
      <c r="J414" s="1" t="s">
        <v>2507</v>
      </c>
      <c r="K414" s="1" t="s">
        <v>2508</v>
      </c>
    </row>
    <row r="415" spans="1:11" ht="90" x14ac:dyDescent="0.25">
      <c r="A415" t="s">
        <v>2509</v>
      </c>
      <c r="B415" t="s">
        <v>35</v>
      </c>
      <c r="C415" t="s">
        <v>2510</v>
      </c>
      <c r="D415" t="s">
        <v>2511</v>
      </c>
      <c r="E415" t="s">
        <v>839</v>
      </c>
      <c r="F415">
        <v>2</v>
      </c>
      <c r="G415">
        <v>3</v>
      </c>
      <c r="H415">
        <v>2</v>
      </c>
      <c r="I415" s="1" t="s">
        <v>2512</v>
      </c>
      <c r="J415" s="1" t="s">
        <v>2513</v>
      </c>
      <c r="K415" s="1" t="s">
        <v>2514</v>
      </c>
    </row>
    <row r="416" spans="1:11" ht="105" x14ac:dyDescent="0.25">
      <c r="A416" t="s">
        <v>2515</v>
      </c>
      <c r="B416" t="s">
        <v>35</v>
      </c>
      <c r="D416" t="s">
        <v>2516</v>
      </c>
      <c r="E416" t="s">
        <v>1009</v>
      </c>
      <c r="F416">
        <v>3</v>
      </c>
      <c r="G416">
        <v>3</v>
      </c>
      <c r="H416">
        <v>2</v>
      </c>
      <c r="I416" s="1" t="s">
        <v>2517</v>
      </c>
      <c r="J416" s="1" t="s">
        <v>2518</v>
      </c>
      <c r="K416" s="1" t="s">
        <v>2519</v>
      </c>
    </row>
    <row r="417" spans="1:11" ht="60" x14ac:dyDescent="0.25">
      <c r="A417" t="s">
        <v>2520</v>
      </c>
      <c r="B417" t="s">
        <v>43</v>
      </c>
      <c r="C417" t="s">
        <v>2521</v>
      </c>
      <c r="D417" t="s">
        <v>2522</v>
      </c>
      <c r="E417" t="s">
        <v>150</v>
      </c>
      <c r="F417">
        <v>2</v>
      </c>
      <c r="G417">
        <v>2</v>
      </c>
      <c r="H417">
        <v>1</v>
      </c>
      <c r="I417" s="1" t="s">
        <v>2523</v>
      </c>
      <c r="J417" s="1" t="s">
        <v>2524</v>
      </c>
      <c r="K417" s="1" t="s">
        <v>2525</v>
      </c>
    </row>
    <row r="418" spans="1:11" ht="60" x14ac:dyDescent="0.25">
      <c r="A418" t="s">
        <v>2526</v>
      </c>
      <c r="B418" t="s">
        <v>43</v>
      </c>
      <c r="C418" t="s">
        <v>2527</v>
      </c>
      <c r="D418" t="s">
        <v>2528</v>
      </c>
      <c r="E418" t="s">
        <v>2529</v>
      </c>
      <c r="F418">
        <v>2</v>
      </c>
      <c r="G418">
        <v>2</v>
      </c>
      <c r="H418">
        <v>1</v>
      </c>
      <c r="I418" s="1" t="s">
        <v>2530</v>
      </c>
      <c r="J418" s="1" t="s">
        <v>2531</v>
      </c>
      <c r="K418" s="1" t="s">
        <v>2532</v>
      </c>
    </row>
    <row r="419" spans="1:11" ht="45" x14ac:dyDescent="0.25">
      <c r="A419" t="s">
        <v>2533</v>
      </c>
      <c r="B419" t="s">
        <v>43</v>
      </c>
      <c r="C419" t="s">
        <v>2534</v>
      </c>
      <c r="D419" t="s">
        <v>2535</v>
      </c>
      <c r="E419" t="s">
        <v>742</v>
      </c>
      <c r="F419">
        <v>1</v>
      </c>
      <c r="G419">
        <v>1</v>
      </c>
      <c r="H419">
        <v>0</v>
      </c>
      <c r="I419" s="1" t="s">
        <v>592</v>
      </c>
      <c r="J419" s="1" t="s">
        <v>2536</v>
      </c>
    </row>
    <row r="420" spans="1:11" ht="195" x14ac:dyDescent="0.25">
      <c r="A420" t="s">
        <v>2537</v>
      </c>
      <c r="B420" t="s">
        <v>35</v>
      </c>
      <c r="D420" t="s">
        <v>658</v>
      </c>
      <c r="E420" t="s">
        <v>150</v>
      </c>
      <c r="F420">
        <v>5</v>
      </c>
      <c r="G420">
        <v>6</v>
      </c>
      <c r="H420">
        <v>3</v>
      </c>
      <c r="I420" s="1" t="s">
        <v>2538</v>
      </c>
      <c r="J420" s="1" t="s">
        <v>2539</v>
      </c>
      <c r="K420" s="1" t="s">
        <v>2540</v>
      </c>
    </row>
    <row r="421" spans="1:11" ht="165" x14ac:dyDescent="0.25">
      <c r="A421" t="s">
        <v>2541</v>
      </c>
      <c r="B421" t="s">
        <v>43</v>
      </c>
      <c r="C421" t="s">
        <v>2542</v>
      </c>
      <c r="D421" t="s">
        <v>2543</v>
      </c>
      <c r="E421" t="s">
        <v>2544</v>
      </c>
      <c r="F421">
        <v>5</v>
      </c>
      <c r="G421">
        <v>5</v>
      </c>
      <c r="H421">
        <v>3</v>
      </c>
      <c r="I421" s="1" t="s">
        <v>2545</v>
      </c>
      <c r="J421" s="1" t="s">
        <v>2546</v>
      </c>
      <c r="K421" s="1" t="s">
        <v>2547</v>
      </c>
    </row>
    <row r="422" spans="1:11" ht="150" x14ac:dyDescent="0.25">
      <c r="A422" t="s">
        <v>2548</v>
      </c>
      <c r="B422" t="s">
        <v>43</v>
      </c>
      <c r="C422" t="s">
        <v>2549</v>
      </c>
      <c r="D422" t="s">
        <v>2550</v>
      </c>
      <c r="E422" t="s">
        <v>2551</v>
      </c>
      <c r="F422">
        <v>4</v>
      </c>
      <c r="G422">
        <v>5</v>
      </c>
      <c r="H422">
        <v>3</v>
      </c>
      <c r="I422" s="1" t="s">
        <v>2552</v>
      </c>
      <c r="J422" s="1" t="s">
        <v>2553</v>
      </c>
      <c r="K422" s="1" t="s">
        <v>2554</v>
      </c>
    </row>
    <row r="423" spans="1:11" ht="210" x14ac:dyDescent="0.25">
      <c r="A423" t="s">
        <v>2555</v>
      </c>
      <c r="B423" t="s">
        <v>43</v>
      </c>
      <c r="C423" t="s">
        <v>2556</v>
      </c>
      <c r="D423" t="s">
        <v>2557</v>
      </c>
      <c r="E423" t="s">
        <v>2558</v>
      </c>
      <c r="F423">
        <v>6</v>
      </c>
      <c r="G423">
        <v>10</v>
      </c>
      <c r="H423">
        <v>5</v>
      </c>
      <c r="I423" s="1" t="s">
        <v>2559</v>
      </c>
      <c r="J423" s="1" t="s">
        <v>2560</v>
      </c>
      <c r="K423" s="1" t="s">
        <v>2561</v>
      </c>
    </row>
    <row r="424" spans="1:11" ht="60" x14ac:dyDescent="0.25">
      <c r="A424" t="s">
        <v>2562</v>
      </c>
      <c r="B424" t="s">
        <v>43</v>
      </c>
      <c r="C424" t="s">
        <v>2563</v>
      </c>
      <c r="D424" t="s">
        <v>2564</v>
      </c>
      <c r="E424" t="s">
        <v>2565</v>
      </c>
      <c r="F424">
        <v>2</v>
      </c>
      <c r="G424">
        <v>3</v>
      </c>
      <c r="H424">
        <v>1</v>
      </c>
      <c r="I424" s="1" t="s">
        <v>2566</v>
      </c>
      <c r="J424" s="1" t="s">
        <v>2567</v>
      </c>
      <c r="K424" s="1" t="s">
        <v>2568</v>
      </c>
    </row>
    <row r="425" spans="1:11" ht="45" x14ac:dyDescent="0.25">
      <c r="A425" t="s">
        <v>2569</v>
      </c>
      <c r="B425" t="s">
        <v>43</v>
      </c>
      <c r="C425" t="e">
        <f>- more information labeled on the image chosen - more legible</f>
        <v>#NAME?</v>
      </c>
      <c r="D425" t="s">
        <v>2570</v>
      </c>
      <c r="E425" t="s">
        <v>2571</v>
      </c>
      <c r="F425">
        <v>2</v>
      </c>
      <c r="G425">
        <v>2</v>
      </c>
      <c r="H425">
        <v>1</v>
      </c>
      <c r="I425" s="1" t="s">
        <v>2572</v>
      </c>
      <c r="J425" s="1" t="s">
        <v>2573</v>
      </c>
      <c r="K425" s="1" t="s">
        <v>2574</v>
      </c>
    </row>
    <row r="426" spans="1:11" ht="285" x14ac:dyDescent="0.25">
      <c r="A426" t="s">
        <v>2575</v>
      </c>
      <c r="B426" t="s">
        <v>43</v>
      </c>
      <c r="C426" t="s">
        <v>2576</v>
      </c>
      <c r="D426" t="s">
        <v>2577</v>
      </c>
      <c r="E426" t="s">
        <v>2578</v>
      </c>
      <c r="F426">
        <v>6</v>
      </c>
      <c r="G426">
        <v>14</v>
      </c>
      <c r="H426">
        <v>4</v>
      </c>
      <c r="I426" s="1" t="s">
        <v>2579</v>
      </c>
      <c r="J426" s="1" t="s">
        <v>2580</v>
      </c>
      <c r="K426" s="1" t="s">
        <v>2581</v>
      </c>
    </row>
    <row r="427" spans="1:11" ht="75" x14ac:dyDescent="0.25">
      <c r="A427" t="s">
        <v>2582</v>
      </c>
      <c r="B427" t="s">
        <v>43</v>
      </c>
      <c r="C427" t="s">
        <v>2583</v>
      </c>
      <c r="D427" t="s">
        <v>2584</v>
      </c>
      <c r="E427" t="s">
        <v>2138</v>
      </c>
      <c r="F427">
        <v>2</v>
      </c>
      <c r="G427">
        <v>2</v>
      </c>
      <c r="H427">
        <v>1</v>
      </c>
      <c r="I427" s="1" t="s">
        <v>2585</v>
      </c>
      <c r="J427" s="1" t="s">
        <v>2586</v>
      </c>
      <c r="K427" s="1" t="s">
        <v>2587</v>
      </c>
    </row>
    <row r="428" spans="1:11" ht="60" x14ac:dyDescent="0.25">
      <c r="A428" t="s">
        <v>2588</v>
      </c>
      <c r="B428" t="s">
        <v>43</v>
      </c>
      <c r="C428" t="s">
        <v>2589</v>
      </c>
      <c r="D428" t="s">
        <v>2590</v>
      </c>
      <c r="E428" t="s">
        <v>2591</v>
      </c>
      <c r="F428">
        <v>2</v>
      </c>
      <c r="G428">
        <v>2</v>
      </c>
      <c r="H428">
        <v>1</v>
      </c>
      <c r="I428" s="1" t="s">
        <v>2592</v>
      </c>
      <c r="J428" s="1" t="s">
        <v>2593</v>
      </c>
      <c r="K428" s="1" t="s">
        <v>2594</v>
      </c>
    </row>
    <row r="429" spans="1:11" ht="45" x14ac:dyDescent="0.25">
      <c r="A429" t="s">
        <v>2595</v>
      </c>
      <c r="B429" t="s">
        <v>43</v>
      </c>
      <c r="C429" t="s">
        <v>2596</v>
      </c>
      <c r="D429" t="s">
        <v>2279</v>
      </c>
      <c r="E429" t="s">
        <v>150</v>
      </c>
      <c r="F429">
        <v>1</v>
      </c>
      <c r="G429">
        <v>1</v>
      </c>
      <c r="H429">
        <v>0</v>
      </c>
      <c r="I429" s="1" t="s">
        <v>592</v>
      </c>
      <c r="J429" s="1" t="s">
        <v>2597</v>
      </c>
    </row>
    <row r="430" spans="1:11" ht="135" x14ac:dyDescent="0.25">
      <c r="A430" t="s">
        <v>2598</v>
      </c>
      <c r="B430" t="s">
        <v>43</v>
      </c>
      <c r="C430" t="s">
        <v>2599</v>
      </c>
      <c r="D430" t="s">
        <v>2600</v>
      </c>
      <c r="E430" t="s">
        <v>2601</v>
      </c>
      <c r="F430">
        <v>4</v>
      </c>
      <c r="G430">
        <v>5</v>
      </c>
      <c r="H430">
        <v>3</v>
      </c>
      <c r="I430" s="1" t="s">
        <v>2602</v>
      </c>
      <c r="J430" s="1" t="s">
        <v>2603</v>
      </c>
      <c r="K430" s="1" t="s">
        <v>2604</v>
      </c>
    </row>
    <row r="431" spans="1:11" ht="45" x14ac:dyDescent="0.25">
      <c r="A431" t="s">
        <v>2605</v>
      </c>
      <c r="B431" t="s">
        <v>43</v>
      </c>
      <c r="C431" t="s">
        <v>2606</v>
      </c>
      <c r="D431" t="s">
        <v>256</v>
      </c>
      <c r="E431" t="s">
        <v>244</v>
      </c>
      <c r="F431">
        <v>1</v>
      </c>
      <c r="G431">
        <v>1</v>
      </c>
      <c r="H431">
        <v>1</v>
      </c>
      <c r="I431" s="1" t="s">
        <v>68</v>
      </c>
      <c r="J431" s="1" t="s">
        <v>1871</v>
      </c>
      <c r="K431" s="1" t="s">
        <v>2607</v>
      </c>
    </row>
    <row r="432" spans="1:11" ht="120" x14ac:dyDescent="0.25">
      <c r="A432" t="s">
        <v>2608</v>
      </c>
      <c r="B432" t="s">
        <v>43</v>
      </c>
      <c r="C432" t="s">
        <v>2609</v>
      </c>
      <c r="D432" t="s">
        <v>2610</v>
      </c>
      <c r="E432" t="s">
        <v>1938</v>
      </c>
      <c r="F432">
        <v>4</v>
      </c>
      <c r="G432">
        <v>3</v>
      </c>
      <c r="H432">
        <v>3</v>
      </c>
      <c r="I432" s="1" t="s">
        <v>2611</v>
      </c>
      <c r="J432" s="1" t="s">
        <v>2612</v>
      </c>
      <c r="K432" s="1" t="s">
        <v>2613</v>
      </c>
    </row>
    <row r="433" spans="1:11" ht="135" x14ac:dyDescent="0.25">
      <c r="A433" t="s">
        <v>2614</v>
      </c>
      <c r="B433" t="s">
        <v>43</v>
      </c>
      <c r="C433" t="e">
        <f>- Colors make A chart easier to read. - Ammount of information to understand the daya</f>
        <v>#NAME?</v>
      </c>
      <c r="D433" t="s">
        <v>2615</v>
      </c>
      <c r="E433" t="s">
        <v>2616</v>
      </c>
      <c r="F433">
        <v>3</v>
      </c>
      <c r="G433">
        <v>2</v>
      </c>
      <c r="H433">
        <v>2</v>
      </c>
      <c r="I433" s="1" t="s">
        <v>24</v>
      </c>
      <c r="J433" s="1" t="s">
        <v>2617</v>
      </c>
      <c r="K433" s="1" t="s">
        <v>2618</v>
      </c>
    </row>
    <row r="434" spans="1:11" ht="90" x14ac:dyDescent="0.25">
      <c r="A434" t="s">
        <v>2619</v>
      </c>
      <c r="B434" t="s">
        <v>43</v>
      </c>
      <c r="C434" t="s">
        <v>2620</v>
      </c>
      <c r="D434" t="s">
        <v>2621</v>
      </c>
      <c r="E434" t="s">
        <v>2622</v>
      </c>
      <c r="F434">
        <v>3</v>
      </c>
      <c r="G434">
        <v>3</v>
      </c>
      <c r="H434">
        <v>3</v>
      </c>
      <c r="I434" s="1" t="s">
        <v>2623</v>
      </c>
      <c r="J434" s="1" t="s">
        <v>2624</v>
      </c>
      <c r="K434" s="1" t="s">
        <v>2625</v>
      </c>
    </row>
    <row r="435" spans="1:11" ht="165" x14ac:dyDescent="0.25">
      <c r="A435" t="s">
        <v>2626</v>
      </c>
      <c r="B435" t="s">
        <v>43</v>
      </c>
      <c r="C435" t="s">
        <v>2627</v>
      </c>
      <c r="D435" t="s">
        <v>2628</v>
      </c>
      <c r="E435" t="s">
        <v>2629</v>
      </c>
      <c r="F435">
        <v>4</v>
      </c>
      <c r="G435">
        <v>7</v>
      </c>
      <c r="H435">
        <v>3</v>
      </c>
      <c r="I435" s="1" t="s">
        <v>2630</v>
      </c>
      <c r="J435" s="1" t="s">
        <v>2631</v>
      </c>
      <c r="K435" s="1" t="s">
        <v>2632</v>
      </c>
    </row>
    <row r="436" spans="1:11" ht="180" x14ac:dyDescent="0.25">
      <c r="A436" t="s">
        <v>2633</v>
      </c>
      <c r="B436" t="s">
        <v>43</v>
      </c>
      <c r="C436" t="s">
        <v>2634</v>
      </c>
      <c r="D436" t="s">
        <v>2635</v>
      </c>
      <c r="E436" t="s">
        <v>2636</v>
      </c>
      <c r="F436">
        <v>5</v>
      </c>
      <c r="G436">
        <v>6</v>
      </c>
      <c r="H436">
        <v>4</v>
      </c>
      <c r="I436" s="1" t="s">
        <v>2637</v>
      </c>
      <c r="J436" s="1" t="s">
        <v>2638</v>
      </c>
      <c r="K436" s="1" t="s">
        <v>2639</v>
      </c>
    </row>
    <row r="437" spans="1:11" ht="60" x14ac:dyDescent="0.25">
      <c r="A437" t="s">
        <v>2640</v>
      </c>
      <c r="B437" t="s">
        <v>43</v>
      </c>
      <c r="C437" t="s">
        <v>2641</v>
      </c>
      <c r="D437" t="s">
        <v>2642</v>
      </c>
      <c r="E437" t="s">
        <v>520</v>
      </c>
      <c r="F437">
        <v>2</v>
      </c>
      <c r="G437">
        <v>2</v>
      </c>
      <c r="H437">
        <v>1</v>
      </c>
      <c r="I437" s="1" t="s">
        <v>2643</v>
      </c>
      <c r="J437" s="1" t="s">
        <v>2644</v>
      </c>
      <c r="K437" s="1" t="s">
        <v>2645</v>
      </c>
    </row>
    <row r="438" spans="1:11" ht="120" x14ac:dyDescent="0.25">
      <c r="A438" t="s">
        <v>2646</v>
      </c>
      <c r="B438" t="s">
        <v>43</v>
      </c>
      <c r="C438" t="s">
        <v>2647</v>
      </c>
      <c r="D438" t="s">
        <v>2648</v>
      </c>
      <c r="E438" t="s">
        <v>2649</v>
      </c>
      <c r="F438">
        <v>3</v>
      </c>
      <c r="G438">
        <v>3</v>
      </c>
      <c r="H438">
        <v>2</v>
      </c>
      <c r="I438" s="1" t="s">
        <v>2650</v>
      </c>
      <c r="J438" s="1" t="s">
        <v>2651</v>
      </c>
      <c r="K438" s="1" t="s">
        <v>2652</v>
      </c>
    </row>
    <row r="439" spans="1:11" ht="210" x14ac:dyDescent="0.25">
      <c r="A439" t="s">
        <v>2653</v>
      </c>
      <c r="B439" t="s">
        <v>43</v>
      </c>
      <c r="C439" t="s">
        <v>2654</v>
      </c>
      <c r="D439" t="s">
        <v>2655</v>
      </c>
      <c r="E439" t="s">
        <v>2656</v>
      </c>
      <c r="F439">
        <v>7</v>
      </c>
      <c r="G439">
        <v>9</v>
      </c>
      <c r="H439">
        <v>4</v>
      </c>
      <c r="I439" s="1" t="s">
        <v>2657</v>
      </c>
      <c r="J439" s="1" t="s">
        <v>2658</v>
      </c>
      <c r="K439" s="1" t="s">
        <v>2659</v>
      </c>
    </row>
    <row r="440" spans="1:11" ht="180" x14ac:dyDescent="0.25">
      <c r="A440" t="s">
        <v>2660</v>
      </c>
      <c r="B440" t="s">
        <v>43</v>
      </c>
      <c r="C440" t="s">
        <v>2661</v>
      </c>
      <c r="D440" t="s">
        <v>2662</v>
      </c>
      <c r="E440" t="s">
        <v>2663</v>
      </c>
      <c r="F440">
        <v>6</v>
      </c>
      <c r="G440">
        <v>9</v>
      </c>
      <c r="H440">
        <v>4</v>
      </c>
      <c r="I440" s="1" t="s">
        <v>2664</v>
      </c>
      <c r="J440" s="1" t="s">
        <v>2665</v>
      </c>
      <c r="K440" s="1" t="s">
        <v>2666</v>
      </c>
    </row>
    <row r="441" spans="1:11" ht="105" x14ac:dyDescent="0.25">
      <c r="A441" t="s">
        <v>2667</v>
      </c>
      <c r="B441" t="s">
        <v>43</v>
      </c>
      <c r="C441" t="s">
        <v>2668</v>
      </c>
      <c r="D441" t="s">
        <v>2669</v>
      </c>
      <c r="E441" t="s">
        <v>2670</v>
      </c>
      <c r="F441">
        <v>3</v>
      </c>
      <c r="G441">
        <v>2</v>
      </c>
      <c r="H441">
        <v>2</v>
      </c>
      <c r="I441" s="1" t="s">
        <v>2671</v>
      </c>
      <c r="J441" s="1" t="s">
        <v>2672</v>
      </c>
      <c r="K441" s="1" t="s">
        <v>2673</v>
      </c>
    </row>
    <row r="442" spans="1:11" ht="45" x14ac:dyDescent="0.25">
      <c r="A442" t="s">
        <v>2674</v>
      </c>
      <c r="B442" t="s">
        <v>43</v>
      </c>
      <c r="C442" t="s">
        <v>2675</v>
      </c>
      <c r="D442" t="s">
        <v>591</v>
      </c>
      <c r="E442" t="s">
        <v>150</v>
      </c>
      <c r="F442">
        <v>1</v>
      </c>
      <c r="G442">
        <v>1</v>
      </c>
      <c r="H442">
        <v>0</v>
      </c>
      <c r="I442" s="1" t="s">
        <v>592</v>
      </c>
      <c r="J442" s="1" t="s">
        <v>2676</v>
      </c>
    </row>
    <row r="443" spans="1:11" ht="30" x14ac:dyDescent="0.25">
      <c r="A443" t="s">
        <v>2677</v>
      </c>
      <c r="B443" t="s">
        <v>43</v>
      </c>
      <c r="C443" t="s">
        <v>2678</v>
      </c>
      <c r="D443" t="s">
        <v>741</v>
      </c>
      <c r="E443" t="s">
        <v>742</v>
      </c>
      <c r="F443">
        <v>1</v>
      </c>
      <c r="G443">
        <v>1</v>
      </c>
      <c r="H443">
        <v>0</v>
      </c>
      <c r="I443" s="1" t="s">
        <v>743</v>
      </c>
      <c r="J443" s="1" t="s">
        <v>2679</v>
      </c>
    </row>
    <row r="444" spans="1:11" ht="105" x14ac:dyDescent="0.25">
      <c r="A444" t="s">
        <v>2680</v>
      </c>
      <c r="B444" t="s">
        <v>43</v>
      </c>
      <c r="C444" t="s">
        <v>2681</v>
      </c>
      <c r="D444" t="s">
        <v>2682</v>
      </c>
      <c r="E444" t="s">
        <v>1341</v>
      </c>
      <c r="F444">
        <v>3</v>
      </c>
      <c r="G444">
        <v>4</v>
      </c>
      <c r="H444">
        <v>2</v>
      </c>
      <c r="I444" s="1" t="s">
        <v>2683</v>
      </c>
      <c r="J444" s="1" t="s">
        <v>2684</v>
      </c>
      <c r="K444" s="1" t="s">
        <v>2685</v>
      </c>
    </row>
    <row r="445" spans="1:11" ht="180" x14ac:dyDescent="0.25">
      <c r="A445" t="s">
        <v>2686</v>
      </c>
      <c r="B445" t="s">
        <v>43</v>
      </c>
      <c r="C445" t="s">
        <v>2687</v>
      </c>
      <c r="D445" t="s">
        <v>2688</v>
      </c>
      <c r="E445" t="s">
        <v>2689</v>
      </c>
      <c r="F445">
        <v>6</v>
      </c>
      <c r="G445">
        <v>8</v>
      </c>
      <c r="H445">
        <v>5</v>
      </c>
      <c r="I445" s="1" t="s">
        <v>2690</v>
      </c>
      <c r="J445" s="1" t="s">
        <v>2691</v>
      </c>
      <c r="K445" s="1" t="s">
        <v>2692</v>
      </c>
    </row>
    <row r="446" spans="1:11" ht="90" x14ac:dyDescent="0.25">
      <c r="A446" t="s">
        <v>2693</v>
      </c>
      <c r="B446" t="s">
        <v>43</v>
      </c>
      <c r="C446" t="s">
        <v>2694</v>
      </c>
      <c r="D446" t="s">
        <v>2695</v>
      </c>
      <c r="E446" t="s">
        <v>2696</v>
      </c>
      <c r="F446">
        <v>3</v>
      </c>
      <c r="G446">
        <v>3</v>
      </c>
      <c r="H446">
        <v>3</v>
      </c>
      <c r="I446" s="1" t="s">
        <v>2697</v>
      </c>
      <c r="J446" s="1" t="s">
        <v>2698</v>
      </c>
      <c r="K446" s="1" t="s">
        <v>2699</v>
      </c>
    </row>
    <row r="447" spans="1:11" ht="75" x14ac:dyDescent="0.25">
      <c r="A447" t="s">
        <v>2700</v>
      </c>
      <c r="B447" t="s">
        <v>43</v>
      </c>
      <c r="C447" t="s">
        <v>2701</v>
      </c>
      <c r="D447" t="s">
        <v>2702</v>
      </c>
      <c r="E447" t="s">
        <v>546</v>
      </c>
      <c r="F447">
        <v>2</v>
      </c>
      <c r="G447">
        <v>3</v>
      </c>
      <c r="H447">
        <v>1</v>
      </c>
      <c r="I447" s="1" t="s">
        <v>678</v>
      </c>
      <c r="J447" s="1" t="s">
        <v>2703</v>
      </c>
      <c r="K447" s="1" t="s">
        <v>2704</v>
      </c>
    </row>
    <row r="448" spans="1:11" ht="135" x14ac:dyDescent="0.25">
      <c r="A448" t="s">
        <v>2705</v>
      </c>
      <c r="B448" t="s">
        <v>43</v>
      </c>
      <c r="C448" t="s">
        <v>2706</v>
      </c>
      <c r="D448" t="s">
        <v>2707</v>
      </c>
      <c r="E448" t="s">
        <v>2708</v>
      </c>
      <c r="F448">
        <v>4</v>
      </c>
      <c r="G448">
        <v>4</v>
      </c>
      <c r="H448">
        <v>3</v>
      </c>
      <c r="I448" s="1" t="s">
        <v>2709</v>
      </c>
      <c r="J448" s="1" t="s">
        <v>2710</v>
      </c>
      <c r="K448" s="1" t="s">
        <v>2711</v>
      </c>
    </row>
    <row r="449" spans="1:11" ht="150" x14ac:dyDescent="0.25">
      <c r="A449" t="s">
        <v>2712</v>
      </c>
      <c r="B449" t="s">
        <v>43</v>
      </c>
      <c r="C449" t="s">
        <v>2713</v>
      </c>
      <c r="D449" t="s">
        <v>2714</v>
      </c>
      <c r="E449" t="s">
        <v>1938</v>
      </c>
      <c r="F449">
        <v>6</v>
      </c>
      <c r="G449">
        <v>6</v>
      </c>
      <c r="H449">
        <v>3</v>
      </c>
      <c r="I449" s="1" t="s">
        <v>2715</v>
      </c>
      <c r="J449" s="1" t="s">
        <v>2716</v>
      </c>
      <c r="K449" s="1" t="s">
        <v>2717</v>
      </c>
    </row>
    <row r="450" spans="1:11" ht="105" x14ac:dyDescent="0.25">
      <c r="A450" t="s">
        <v>2718</v>
      </c>
      <c r="B450" t="s">
        <v>43</v>
      </c>
      <c r="C450" t="s">
        <v>2719</v>
      </c>
      <c r="D450" t="s">
        <v>2720</v>
      </c>
      <c r="E450" t="s">
        <v>617</v>
      </c>
      <c r="F450">
        <v>3</v>
      </c>
      <c r="G450">
        <v>3</v>
      </c>
      <c r="H450">
        <v>2</v>
      </c>
      <c r="I450" s="1" t="s">
        <v>2721</v>
      </c>
      <c r="J450" s="1" t="s">
        <v>2722</v>
      </c>
      <c r="K450" s="1" t="s">
        <v>2723</v>
      </c>
    </row>
    <row r="451" spans="1:11" ht="45" x14ac:dyDescent="0.25">
      <c r="A451" t="s">
        <v>2724</v>
      </c>
      <c r="B451" t="s">
        <v>43</v>
      </c>
      <c r="C451" t="s">
        <v>2725</v>
      </c>
      <c r="D451" t="s">
        <v>984</v>
      </c>
      <c r="E451" t="s">
        <v>984</v>
      </c>
      <c r="F451">
        <v>1</v>
      </c>
      <c r="G451">
        <v>1</v>
      </c>
      <c r="H451">
        <v>0</v>
      </c>
      <c r="I451" s="1" t="s">
        <v>68</v>
      </c>
      <c r="J451" s="1" t="s">
        <v>2726</v>
      </c>
    </row>
    <row r="452" spans="1:11" ht="30" x14ac:dyDescent="0.25">
      <c r="A452" t="s">
        <v>2727</v>
      </c>
      <c r="B452" t="s">
        <v>43</v>
      </c>
      <c r="C452" t="e">
        <f>-Lots of points -to much to look at</f>
        <v>#NAME?</v>
      </c>
      <c r="D452" t="s">
        <v>984</v>
      </c>
      <c r="E452" t="s">
        <v>984</v>
      </c>
      <c r="F452">
        <v>1</v>
      </c>
      <c r="G452">
        <v>1</v>
      </c>
      <c r="H452">
        <v>0</v>
      </c>
      <c r="I452" s="1" t="s">
        <v>985</v>
      </c>
      <c r="J452" s="1" t="s">
        <v>2728</v>
      </c>
    </row>
    <row r="453" spans="1:11" ht="150" x14ac:dyDescent="0.25">
      <c r="A453" t="s">
        <v>2729</v>
      </c>
      <c r="B453" t="s">
        <v>43</v>
      </c>
      <c r="C453" t="s">
        <v>2730</v>
      </c>
      <c r="D453" t="s">
        <v>2731</v>
      </c>
      <c r="E453" t="s">
        <v>2591</v>
      </c>
      <c r="F453">
        <v>4</v>
      </c>
      <c r="G453">
        <v>4</v>
      </c>
      <c r="H453">
        <v>4</v>
      </c>
      <c r="I453" s="1" t="s">
        <v>2732</v>
      </c>
      <c r="J453" s="1" t="s">
        <v>2733</v>
      </c>
      <c r="K453" s="1" t="s">
        <v>2734</v>
      </c>
    </row>
    <row r="454" spans="1:11" ht="105" x14ac:dyDescent="0.25">
      <c r="A454" t="s">
        <v>2735</v>
      </c>
      <c r="B454" t="s">
        <v>43</v>
      </c>
      <c r="C454" t="s">
        <v>2736</v>
      </c>
      <c r="D454" t="s">
        <v>2737</v>
      </c>
      <c r="E454" t="s">
        <v>2738</v>
      </c>
      <c r="F454">
        <v>3</v>
      </c>
      <c r="G454">
        <v>3</v>
      </c>
      <c r="H454">
        <v>2</v>
      </c>
      <c r="I454" s="1" t="s">
        <v>2739</v>
      </c>
      <c r="J454" s="1" t="s">
        <v>2740</v>
      </c>
      <c r="K454" s="1" t="s">
        <v>2741</v>
      </c>
    </row>
    <row r="455" spans="1:11" ht="180" x14ac:dyDescent="0.25">
      <c r="A455" t="s">
        <v>2742</v>
      </c>
      <c r="B455" t="s">
        <v>43</v>
      </c>
      <c r="C455" t="s">
        <v>2743</v>
      </c>
      <c r="D455" t="s">
        <v>2744</v>
      </c>
      <c r="E455" t="s">
        <v>2745</v>
      </c>
      <c r="F455">
        <v>4</v>
      </c>
      <c r="G455">
        <v>5</v>
      </c>
      <c r="H455">
        <v>3</v>
      </c>
      <c r="I455" s="1" t="s">
        <v>2746</v>
      </c>
      <c r="J455" s="1" t="s">
        <v>2747</v>
      </c>
      <c r="K455" s="1" t="s">
        <v>2748</v>
      </c>
    </row>
    <row r="456" spans="1:11" ht="45" x14ac:dyDescent="0.25">
      <c r="A456" t="s">
        <v>2749</v>
      </c>
      <c r="B456" t="s">
        <v>43</v>
      </c>
      <c r="C456" t="s">
        <v>2750</v>
      </c>
      <c r="D456" t="s">
        <v>2751</v>
      </c>
      <c r="E456" t="s">
        <v>2751</v>
      </c>
      <c r="F456">
        <v>1</v>
      </c>
      <c r="G456">
        <v>1</v>
      </c>
      <c r="H456">
        <v>0</v>
      </c>
      <c r="I456" s="1" t="s">
        <v>68</v>
      </c>
      <c r="J456" s="1" t="s">
        <v>2752</v>
      </c>
    </row>
    <row r="457" spans="1:11" ht="150" x14ac:dyDescent="0.25">
      <c r="A457" t="s">
        <v>2753</v>
      </c>
      <c r="B457" t="s">
        <v>43</v>
      </c>
      <c r="C457" t="s">
        <v>2754</v>
      </c>
      <c r="D457" t="s">
        <v>2755</v>
      </c>
      <c r="E457" t="s">
        <v>2756</v>
      </c>
      <c r="F457">
        <v>4</v>
      </c>
      <c r="G457">
        <v>5</v>
      </c>
      <c r="H457">
        <v>3</v>
      </c>
      <c r="I457" s="1" t="s">
        <v>2757</v>
      </c>
      <c r="J457" s="1" t="s">
        <v>2758</v>
      </c>
      <c r="K457" s="1" t="s">
        <v>2759</v>
      </c>
    </row>
    <row r="458" spans="1:11" ht="135" x14ac:dyDescent="0.25">
      <c r="A458" t="s">
        <v>2760</v>
      </c>
      <c r="B458" t="s">
        <v>43</v>
      </c>
      <c r="C458" t="s">
        <v>2761</v>
      </c>
      <c r="D458" t="s">
        <v>2762</v>
      </c>
      <c r="E458" t="s">
        <v>435</v>
      </c>
      <c r="F458">
        <v>4</v>
      </c>
      <c r="G458">
        <v>4</v>
      </c>
      <c r="H458">
        <v>3</v>
      </c>
      <c r="I458" s="1" t="s">
        <v>2763</v>
      </c>
      <c r="J458" s="1" t="s">
        <v>2764</v>
      </c>
      <c r="K458" s="1" t="s">
        <v>2765</v>
      </c>
    </row>
    <row r="459" spans="1:11" ht="45" x14ac:dyDescent="0.25">
      <c r="A459" t="s">
        <v>2766</v>
      </c>
      <c r="B459" t="s">
        <v>43</v>
      </c>
      <c r="C459" t="s">
        <v>2767</v>
      </c>
      <c r="D459" t="s">
        <v>1329</v>
      </c>
      <c r="E459" t="s">
        <v>698</v>
      </c>
      <c r="F459">
        <v>1</v>
      </c>
      <c r="G459">
        <v>1</v>
      </c>
      <c r="H459">
        <v>0</v>
      </c>
      <c r="I459" s="1" t="s">
        <v>68</v>
      </c>
      <c r="J459" s="1" t="s">
        <v>2768</v>
      </c>
    </row>
    <row r="460" spans="1:11" ht="120" x14ac:dyDescent="0.25">
      <c r="A460" t="s">
        <v>2769</v>
      </c>
      <c r="B460" t="s">
        <v>43</v>
      </c>
      <c r="C460" t="s">
        <v>2770</v>
      </c>
      <c r="D460" t="s">
        <v>2771</v>
      </c>
      <c r="E460" t="s">
        <v>2772</v>
      </c>
      <c r="F460">
        <v>3</v>
      </c>
      <c r="G460">
        <v>3</v>
      </c>
      <c r="H460">
        <v>2</v>
      </c>
      <c r="I460" s="1" t="s">
        <v>2773</v>
      </c>
      <c r="J460" s="1" t="s">
        <v>2774</v>
      </c>
      <c r="K460" s="1" t="s">
        <v>2775</v>
      </c>
    </row>
    <row r="461" spans="1:11" ht="45" x14ac:dyDescent="0.25">
      <c r="A461" t="s">
        <v>2776</v>
      </c>
      <c r="B461" t="s">
        <v>43</v>
      </c>
      <c r="C461" t="s">
        <v>2777</v>
      </c>
      <c r="D461" t="s">
        <v>67</v>
      </c>
      <c r="E461" t="s">
        <v>15</v>
      </c>
      <c r="F461">
        <v>1</v>
      </c>
      <c r="G461">
        <v>1</v>
      </c>
      <c r="H461">
        <v>0</v>
      </c>
      <c r="I461" s="1" t="s">
        <v>592</v>
      </c>
      <c r="J461" s="1" t="s">
        <v>2778</v>
      </c>
    </row>
    <row r="462" spans="1:11" ht="75" x14ac:dyDescent="0.25">
      <c r="A462" t="s">
        <v>2779</v>
      </c>
      <c r="B462" t="s">
        <v>43</v>
      </c>
      <c r="C462" t="s">
        <v>2780</v>
      </c>
      <c r="D462" t="s">
        <v>2781</v>
      </c>
      <c r="E462" t="s">
        <v>2782</v>
      </c>
      <c r="F462">
        <v>2</v>
      </c>
      <c r="G462">
        <v>2</v>
      </c>
      <c r="H462">
        <v>1</v>
      </c>
      <c r="I462" s="1" t="s">
        <v>2783</v>
      </c>
      <c r="J462" s="1" t="s">
        <v>2784</v>
      </c>
      <c r="K462" s="1" t="s">
        <v>2785</v>
      </c>
    </row>
    <row r="463" spans="1:11" ht="90" x14ac:dyDescent="0.25">
      <c r="A463" t="s">
        <v>2786</v>
      </c>
      <c r="B463" t="s">
        <v>43</v>
      </c>
      <c r="C463" t="e">
        <f>-too many elements and shapes in one visual -small text font</f>
        <v>#NAME?</v>
      </c>
      <c r="D463" t="s">
        <v>2787</v>
      </c>
      <c r="E463" t="s">
        <v>2788</v>
      </c>
      <c r="F463">
        <v>3</v>
      </c>
      <c r="G463">
        <v>3</v>
      </c>
      <c r="H463">
        <v>2</v>
      </c>
      <c r="I463" s="1" t="s">
        <v>2789</v>
      </c>
      <c r="J463" s="1" t="s">
        <v>2790</v>
      </c>
      <c r="K463" s="1" t="s">
        <v>2791</v>
      </c>
    </row>
    <row r="464" spans="1:11" ht="45" x14ac:dyDescent="0.25">
      <c r="A464" t="s">
        <v>2792</v>
      </c>
      <c r="B464" t="s">
        <v>214</v>
      </c>
      <c r="C464" t="s">
        <v>2793</v>
      </c>
      <c r="D464" t="s">
        <v>591</v>
      </c>
      <c r="E464" t="s">
        <v>150</v>
      </c>
      <c r="F464">
        <v>1</v>
      </c>
      <c r="G464">
        <v>1</v>
      </c>
      <c r="H464">
        <v>0</v>
      </c>
      <c r="I464" s="1" t="s">
        <v>68</v>
      </c>
      <c r="J464" s="1" t="s">
        <v>2794</v>
      </c>
    </row>
    <row r="465" spans="1:11" ht="135" x14ac:dyDescent="0.25">
      <c r="A465" t="s">
        <v>2795</v>
      </c>
      <c r="B465" t="s">
        <v>43</v>
      </c>
      <c r="D465" t="s">
        <v>2796</v>
      </c>
      <c r="E465" t="s">
        <v>796</v>
      </c>
      <c r="F465">
        <v>5</v>
      </c>
      <c r="G465">
        <v>5</v>
      </c>
      <c r="H465">
        <v>4</v>
      </c>
      <c r="I465" s="1" t="s">
        <v>2797</v>
      </c>
      <c r="J465" s="1" t="s">
        <v>2798</v>
      </c>
      <c r="K465" s="1" t="s">
        <v>2799</v>
      </c>
    </row>
    <row r="466" spans="1:11" ht="150" x14ac:dyDescent="0.25">
      <c r="A466" t="s">
        <v>2800</v>
      </c>
      <c r="B466" t="s">
        <v>43</v>
      </c>
      <c r="D466" t="s">
        <v>1238</v>
      </c>
      <c r="E466" t="s">
        <v>1221</v>
      </c>
      <c r="F466">
        <v>4</v>
      </c>
      <c r="G466">
        <v>4</v>
      </c>
      <c r="H466">
        <v>3</v>
      </c>
      <c r="I466" s="1" t="s">
        <v>2801</v>
      </c>
      <c r="J466" s="1" t="s">
        <v>2802</v>
      </c>
      <c r="K466" s="1" t="s">
        <v>2803</v>
      </c>
    </row>
    <row r="467" spans="1:11" ht="45" x14ac:dyDescent="0.25">
      <c r="A467" t="s">
        <v>2804</v>
      </c>
      <c r="B467" t="s">
        <v>214</v>
      </c>
      <c r="C467" t="s">
        <v>2805</v>
      </c>
      <c r="D467" t="s">
        <v>845</v>
      </c>
      <c r="E467" t="s">
        <v>150</v>
      </c>
      <c r="F467">
        <v>1</v>
      </c>
      <c r="G467">
        <v>1</v>
      </c>
      <c r="H467">
        <v>0</v>
      </c>
      <c r="I467" s="1" t="s">
        <v>68</v>
      </c>
      <c r="J467" s="1" t="s">
        <v>2806</v>
      </c>
    </row>
    <row r="468" spans="1:11" ht="180" x14ac:dyDescent="0.25">
      <c r="A468" t="s">
        <v>2807</v>
      </c>
      <c r="B468" t="s">
        <v>43</v>
      </c>
      <c r="D468" t="s">
        <v>2808</v>
      </c>
      <c r="E468" t="s">
        <v>2809</v>
      </c>
      <c r="F468">
        <v>4</v>
      </c>
      <c r="G468">
        <v>6</v>
      </c>
      <c r="H468">
        <v>3</v>
      </c>
      <c r="I468" s="1" t="s">
        <v>2810</v>
      </c>
      <c r="J468" s="1" t="s">
        <v>2811</v>
      </c>
      <c r="K468" s="1" t="s">
        <v>2812</v>
      </c>
    </row>
    <row r="469" spans="1:11" ht="45" x14ac:dyDescent="0.25">
      <c r="A469" t="s">
        <v>2813</v>
      </c>
      <c r="B469" t="s">
        <v>214</v>
      </c>
      <c r="C469" t="s">
        <v>2814</v>
      </c>
      <c r="D469" t="s">
        <v>1770</v>
      </c>
      <c r="E469" t="s">
        <v>244</v>
      </c>
      <c r="F469">
        <v>1</v>
      </c>
      <c r="G469">
        <v>1</v>
      </c>
      <c r="H469">
        <v>0</v>
      </c>
      <c r="I469" s="1" t="s">
        <v>68</v>
      </c>
      <c r="J469" s="1" t="s">
        <v>2815</v>
      </c>
    </row>
    <row r="470" spans="1:11" ht="165" x14ac:dyDescent="0.25">
      <c r="A470" t="s">
        <v>2816</v>
      </c>
      <c r="B470" t="s">
        <v>43</v>
      </c>
      <c r="D470" t="s">
        <v>2817</v>
      </c>
      <c r="E470" t="s">
        <v>880</v>
      </c>
      <c r="F470">
        <v>5</v>
      </c>
      <c r="G470">
        <v>5</v>
      </c>
      <c r="H470">
        <v>3</v>
      </c>
      <c r="I470" s="1" t="s">
        <v>2818</v>
      </c>
      <c r="J470" s="1" t="s">
        <v>2819</v>
      </c>
      <c r="K470" s="1" t="s">
        <v>2820</v>
      </c>
    </row>
    <row r="471" spans="1:11" ht="30" x14ac:dyDescent="0.25">
      <c r="A471" t="s">
        <v>2821</v>
      </c>
      <c r="B471" t="s">
        <v>214</v>
      </c>
      <c r="C471" t="s">
        <v>2822</v>
      </c>
      <c r="D471" t="s">
        <v>2823</v>
      </c>
      <c r="E471" t="s">
        <v>2824</v>
      </c>
      <c r="F471">
        <v>1</v>
      </c>
      <c r="G471">
        <v>1</v>
      </c>
      <c r="H471">
        <v>0</v>
      </c>
      <c r="I471" s="1" t="s">
        <v>2825</v>
      </c>
      <c r="J471" s="1" t="s">
        <v>2826</v>
      </c>
    </row>
    <row r="472" spans="1:11" ht="90" x14ac:dyDescent="0.25">
      <c r="A472" t="s">
        <v>2827</v>
      </c>
      <c r="B472" t="s">
        <v>214</v>
      </c>
      <c r="C472" t="s">
        <v>2828</v>
      </c>
      <c r="D472" t="s">
        <v>2829</v>
      </c>
      <c r="E472" t="s">
        <v>2830</v>
      </c>
      <c r="F472">
        <v>2</v>
      </c>
      <c r="G472">
        <v>2</v>
      </c>
      <c r="H472">
        <v>1</v>
      </c>
      <c r="I472" s="1" t="s">
        <v>597</v>
      </c>
      <c r="J472" s="1" t="s">
        <v>2831</v>
      </c>
      <c r="K472" s="1" t="s">
        <v>2832</v>
      </c>
    </row>
    <row r="473" spans="1:11" ht="90" x14ac:dyDescent="0.25">
      <c r="A473" t="s">
        <v>2833</v>
      </c>
      <c r="B473" t="s">
        <v>214</v>
      </c>
      <c r="C473" t="s">
        <v>2834</v>
      </c>
      <c r="D473" t="s">
        <v>2835</v>
      </c>
      <c r="E473" t="s">
        <v>2836</v>
      </c>
      <c r="F473">
        <v>3</v>
      </c>
      <c r="G473">
        <v>4</v>
      </c>
      <c r="H473">
        <v>3</v>
      </c>
      <c r="I473" s="1" t="s">
        <v>2837</v>
      </c>
      <c r="J473" s="1" t="s">
        <v>2838</v>
      </c>
      <c r="K473" s="1" t="s">
        <v>2839</v>
      </c>
    </row>
    <row r="474" spans="1:11" ht="90" x14ac:dyDescent="0.25">
      <c r="A474" t="s">
        <v>2840</v>
      </c>
      <c r="B474" t="s">
        <v>214</v>
      </c>
      <c r="C474" t="s">
        <v>2841</v>
      </c>
      <c r="D474" t="s">
        <v>2842</v>
      </c>
      <c r="E474" t="s">
        <v>2591</v>
      </c>
      <c r="F474">
        <v>3</v>
      </c>
      <c r="G474">
        <v>3</v>
      </c>
      <c r="H474">
        <v>2</v>
      </c>
      <c r="I474" s="1" t="s">
        <v>2843</v>
      </c>
      <c r="J474" s="1" t="s">
        <v>2844</v>
      </c>
      <c r="K474" s="1" t="s">
        <v>2845</v>
      </c>
    </row>
    <row r="475" spans="1:11" ht="60" x14ac:dyDescent="0.25">
      <c r="A475" t="s">
        <v>2846</v>
      </c>
      <c r="B475" t="s">
        <v>214</v>
      </c>
      <c r="C475" t="s">
        <v>2847</v>
      </c>
      <c r="D475" t="s">
        <v>926</v>
      </c>
      <c r="E475" t="s">
        <v>880</v>
      </c>
      <c r="F475">
        <v>2</v>
      </c>
      <c r="G475">
        <v>2</v>
      </c>
      <c r="H475">
        <v>1</v>
      </c>
      <c r="I475" s="1" t="s">
        <v>2848</v>
      </c>
      <c r="J475" s="1" t="s">
        <v>2849</v>
      </c>
      <c r="K475" s="1" t="s">
        <v>2850</v>
      </c>
    </row>
    <row r="476" spans="1:11" ht="120" x14ac:dyDescent="0.25">
      <c r="A476" t="s">
        <v>2851</v>
      </c>
      <c r="B476" t="s">
        <v>214</v>
      </c>
      <c r="C476" t="s">
        <v>2852</v>
      </c>
      <c r="D476" t="s">
        <v>2853</v>
      </c>
      <c r="E476" t="s">
        <v>1728</v>
      </c>
      <c r="F476">
        <v>3</v>
      </c>
      <c r="G476">
        <v>2</v>
      </c>
      <c r="H476">
        <v>2</v>
      </c>
      <c r="I476" s="1" t="s">
        <v>2854</v>
      </c>
      <c r="J476" s="1" t="s">
        <v>2855</v>
      </c>
      <c r="K476" s="1" t="s">
        <v>2856</v>
      </c>
    </row>
    <row r="477" spans="1:11" ht="30" x14ac:dyDescent="0.25">
      <c r="A477" t="s">
        <v>2857</v>
      </c>
      <c r="B477" t="s">
        <v>214</v>
      </c>
      <c r="C477" t="s">
        <v>2858</v>
      </c>
      <c r="D477" t="s">
        <v>2859</v>
      </c>
      <c r="E477" t="s">
        <v>698</v>
      </c>
      <c r="F477">
        <v>1</v>
      </c>
      <c r="G477">
        <v>1</v>
      </c>
      <c r="H477">
        <v>0</v>
      </c>
      <c r="I477" s="1" t="s">
        <v>1010</v>
      </c>
      <c r="J477" s="1" t="s">
        <v>2860</v>
      </c>
    </row>
    <row r="478" spans="1:11" ht="150" x14ac:dyDescent="0.25">
      <c r="A478" t="s">
        <v>2861</v>
      </c>
      <c r="B478" t="s">
        <v>214</v>
      </c>
      <c r="C478" t="s">
        <v>2862</v>
      </c>
      <c r="D478" t="s">
        <v>2863</v>
      </c>
      <c r="E478" t="s">
        <v>2864</v>
      </c>
      <c r="F478">
        <v>4</v>
      </c>
      <c r="G478">
        <v>4</v>
      </c>
      <c r="H478">
        <v>3</v>
      </c>
      <c r="I478" s="1" t="s">
        <v>2865</v>
      </c>
      <c r="J478" s="1" t="s">
        <v>2866</v>
      </c>
      <c r="K478" s="1" t="s">
        <v>2867</v>
      </c>
    </row>
    <row r="479" spans="1:11" ht="150" x14ac:dyDescent="0.25">
      <c r="A479" t="s">
        <v>2868</v>
      </c>
      <c r="B479" t="s">
        <v>214</v>
      </c>
      <c r="C479" t="s">
        <v>2869</v>
      </c>
      <c r="D479" t="s">
        <v>2870</v>
      </c>
      <c r="E479" t="s">
        <v>2871</v>
      </c>
      <c r="F479">
        <v>4</v>
      </c>
      <c r="G479">
        <v>6</v>
      </c>
      <c r="H479">
        <v>3</v>
      </c>
      <c r="I479" s="1" t="s">
        <v>2872</v>
      </c>
      <c r="J479" s="1" t="s">
        <v>2873</v>
      </c>
      <c r="K479" s="1" t="s">
        <v>2874</v>
      </c>
    </row>
    <row r="480" spans="1:11" ht="105" x14ac:dyDescent="0.25">
      <c r="A480" t="s">
        <v>2875</v>
      </c>
      <c r="B480" t="s">
        <v>214</v>
      </c>
      <c r="C480" t="s">
        <v>2876</v>
      </c>
      <c r="D480" t="s">
        <v>2877</v>
      </c>
      <c r="E480" t="s">
        <v>2878</v>
      </c>
      <c r="F480">
        <v>3</v>
      </c>
      <c r="G480">
        <v>4</v>
      </c>
      <c r="H480">
        <v>2</v>
      </c>
      <c r="I480" s="1" t="s">
        <v>2879</v>
      </c>
      <c r="J480" s="1" t="s">
        <v>2880</v>
      </c>
      <c r="K480" s="1" t="s">
        <v>2881</v>
      </c>
    </row>
    <row r="481" spans="1:11" ht="135" x14ac:dyDescent="0.25">
      <c r="A481" t="s">
        <v>2882</v>
      </c>
      <c r="B481" t="s">
        <v>214</v>
      </c>
      <c r="C481" t="s">
        <v>2883</v>
      </c>
      <c r="D481" t="s">
        <v>2884</v>
      </c>
      <c r="E481" t="s">
        <v>2885</v>
      </c>
      <c r="F481">
        <v>4</v>
      </c>
      <c r="G481">
        <v>4</v>
      </c>
      <c r="H481">
        <v>2</v>
      </c>
      <c r="I481" s="1" t="s">
        <v>2886</v>
      </c>
      <c r="J481" s="1" t="s">
        <v>2887</v>
      </c>
      <c r="K481" s="1" t="s">
        <v>2888</v>
      </c>
    </row>
    <row r="482" spans="1:11" ht="120" x14ac:dyDescent="0.25">
      <c r="A482" t="s">
        <v>2889</v>
      </c>
      <c r="B482" t="s">
        <v>214</v>
      </c>
      <c r="C482" t="s">
        <v>2890</v>
      </c>
      <c r="D482" t="s">
        <v>2891</v>
      </c>
      <c r="E482" t="s">
        <v>2892</v>
      </c>
      <c r="F482">
        <v>3</v>
      </c>
      <c r="G482">
        <v>5</v>
      </c>
      <c r="H482">
        <v>3</v>
      </c>
      <c r="I482" s="1" t="s">
        <v>2893</v>
      </c>
      <c r="J482" s="1" t="s">
        <v>2894</v>
      </c>
      <c r="K482" s="1" t="s">
        <v>2895</v>
      </c>
    </row>
    <row r="483" spans="1:11" ht="195" x14ac:dyDescent="0.25">
      <c r="A483" t="s">
        <v>2896</v>
      </c>
      <c r="B483" t="s">
        <v>214</v>
      </c>
      <c r="C483" t="s">
        <v>2897</v>
      </c>
      <c r="D483" t="s">
        <v>2898</v>
      </c>
      <c r="E483" t="s">
        <v>2899</v>
      </c>
      <c r="F483">
        <v>5</v>
      </c>
      <c r="G483">
        <v>6</v>
      </c>
      <c r="H483">
        <v>3</v>
      </c>
      <c r="I483" s="1" t="s">
        <v>2900</v>
      </c>
      <c r="J483" s="1" t="s">
        <v>2901</v>
      </c>
      <c r="K483" s="1" t="s">
        <v>2902</v>
      </c>
    </row>
    <row r="484" spans="1:11" ht="45" x14ac:dyDescent="0.25">
      <c r="A484" t="s">
        <v>2903</v>
      </c>
      <c r="B484" t="s">
        <v>214</v>
      </c>
      <c r="C484" t="s">
        <v>2904</v>
      </c>
      <c r="D484" t="s">
        <v>2905</v>
      </c>
      <c r="E484" t="s">
        <v>724</v>
      </c>
      <c r="F484">
        <v>1</v>
      </c>
      <c r="G484">
        <v>1</v>
      </c>
      <c r="H484">
        <v>0</v>
      </c>
      <c r="I484" s="1" t="s">
        <v>68</v>
      </c>
      <c r="J484" s="1" t="s">
        <v>2906</v>
      </c>
    </row>
    <row r="485" spans="1:11" ht="225" x14ac:dyDescent="0.25">
      <c r="A485" t="s">
        <v>2907</v>
      </c>
      <c r="B485" t="s">
        <v>214</v>
      </c>
      <c r="C485" t="s">
        <v>2908</v>
      </c>
      <c r="D485" t="s">
        <v>2909</v>
      </c>
      <c r="E485" t="s">
        <v>2910</v>
      </c>
      <c r="F485">
        <v>5</v>
      </c>
      <c r="G485">
        <v>9</v>
      </c>
      <c r="H485">
        <v>4</v>
      </c>
      <c r="I485" s="1" t="s">
        <v>2911</v>
      </c>
      <c r="J485" s="1" t="s">
        <v>2912</v>
      </c>
      <c r="K485" s="1" t="s">
        <v>2913</v>
      </c>
    </row>
    <row r="486" spans="1:11" ht="60" x14ac:dyDescent="0.25">
      <c r="A486" t="s">
        <v>2914</v>
      </c>
      <c r="B486" t="s">
        <v>214</v>
      </c>
      <c r="C486" t="s">
        <v>2915</v>
      </c>
      <c r="D486" t="s">
        <v>2916</v>
      </c>
      <c r="E486" t="s">
        <v>223</v>
      </c>
      <c r="F486">
        <v>2</v>
      </c>
      <c r="G486">
        <v>2</v>
      </c>
      <c r="H486">
        <v>1</v>
      </c>
      <c r="I486" s="1" t="s">
        <v>2917</v>
      </c>
      <c r="J486" s="1" t="s">
        <v>2918</v>
      </c>
      <c r="K486" s="1" t="s">
        <v>2919</v>
      </c>
    </row>
    <row r="487" spans="1:11" ht="75" x14ac:dyDescent="0.25">
      <c r="A487" t="s">
        <v>2920</v>
      </c>
      <c r="B487" t="s">
        <v>214</v>
      </c>
      <c r="C487" t="s">
        <v>2921</v>
      </c>
      <c r="D487" t="s">
        <v>2922</v>
      </c>
      <c r="E487" t="s">
        <v>520</v>
      </c>
      <c r="F487">
        <v>2</v>
      </c>
      <c r="G487">
        <v>2</v>
      </c>
      <c r="H487">
        <v>1</v>
      </c>
      <c r="I487" s="1" t="s">
        <v>2923</v>
      </c>
      <c r="J487" s="1" t="s">
        <v>2924</v>
      </c>
      <c r="K487" s="1" t="s">
        <v>2925</v>
      </c>
    </row>
    <row r="488" spans="1:11" ht="120" x14ac:dyDescent="0.25">
      <c r="A488" t="s">
        <v>2926</v>
      </c>
      <c r="B488" t="s">
        <v>214</v>
      </c>
      <c r="C488" t="s">
        <v>2927</v>
      </c>
      <c r="D488" t="s">
        <v>2928</v>
      </c>
      <c r="E488" t="s">
        <v>2929</v>
      </c>
      <c r="F488">
        <v>3</v>
      </c>
      <c r="G488">
        <v>3</v>
      </c>
      <c r="H488">
        <v>2</v>
      </c>
      <c r="I488" s="1" t="s">
        <v>2930</v>
      </c>
      <c r="J488" s="1" t="s">
        <v>2931</v>
      </c>
      <c r="K488" s="1" t="s">
        <v>2932</v>
      </c>
    </row>
    <row r="489" spans="1:11" ht="60" x14ac:dyDescent="0.25">
      <c r="A489" t="s">
        <v>2933</v>
      </c>
      <c r="B489" t="s">
        <v>214</v>
      </c>
      <c r="C489" t="s">
        <v>2934</v>
      </c>
      <c r="D489" t="s">
        <v>2935</v>
      </c>
      <c r="E489" t="s">
        <v>223</v>
      </c>
      <c r="F489">
        <v>2</v>
      </c>
      <c r="G489">
        <v>2</v>
      </c>
      <c r="H489">
        <v>1</v>
      </c>
      <c r="I489" s="1" t="s">
        <v>2936</v>
      </c>
      <c r="J489" s="1" t="s">
        <v>2937</v>
      </c>
      <c r="K489" s="1" t="s">
        <v>2938</v>
      </c>
    </row>
    <row r="490" spans="1:11" ht="105" x14ac:dyDescent="0.25">
      <c r="A490" t="s">
        <v>2939</v>
      </c>
      <c r="B490" t="s">
        <v>214</v>
      </c>
      <c r="C490" t="s">
        <v>2940</v>
      </c>
      <c r="D490" t="s">
        <v>2941</v>
      </c>
      <c r="E490" t="s">
        <v>2942</v>
      </c>
      <c r="F490">
        <v>2</v>
      </c>
      <c r="G490">
        <v>4</v>
      </c>
      <c r="H490">
        <v>2</v>
      </c>
      <c r="I490" s="1" t="s">
        <v>2943</v>
      </c>
      <c r="J490" s="1" t="s">
        <v>2944</v>
      </c>
      <c r="K490" s="1" t="s">
        <v>2945</v>
      </c>
    </row>
    <row r="491" spans="1:11" ht="45" x14ac:dyDescent="0.25">
      <c r="A491" t="s">
        <v>2946</v>
      </c>
      <c r="B491" t="s">
        <v>214</v>
      </c>
      <c r="C491" t="s">
        <v>2947</v>
      </c>
      <c r="D491" t="s">
        <v>2948</v>
      </c>
      <c r="E491" t="s">
        <v>2949</v>
      </c>
      <c r="F491">
        <v>1</v>
      </c>
      <c r="G491">
        <v>2</v>
      </c>
      <c r="H491">
        <v>1</v>
      </c>
      <c r="I491" s="1" t="s">
        <v>68</v>
      </c>
      <c r="J491" s="1" t="s">
        <v>2950</v>
      </c>
      <c r="K491" s="1" t="s">
        <v>2951</v>
      </c>
    </row>
    <row r="492" spans="1:11" ht="60" x14ac:dyDescent="0.25">
      <c r="A492" t="s">
        <v>2952</v>
      </c>
      <c r="B492" t="s">
        <v>214</v>
      </c>
      <c r="C492" t="s">
        <v>2953</v>
      </c>
      <c r="D492" t="s">
        <v>2954</v>
      </c>
      <c r="E492" t="s">
        <v>1713</v>
      </c>
      <c r="F492">
        <v>2</v>
      </c>
      <c r="G492">
        <v>3</v>
      </c>
      <c r="H492">
        <v>1</v>
      </c>
      <c r="I492" s="1" t="s">
        <v>2955</v>
      </c>
      <c r="J492" s="1" t="s">
        <v>2956</v>
      </c>
      <c r="K492" s="1" t="s">
        <v>2957</v>
      </c>
    </row>
    <row r="493" spans="1:11" ht="45" x14ac:dyDescent="0.25">
      <c r="A493" t="s">
        <v>2958</v>
      </c>
      <c r="B493" t="s">
        <v>214</v>
      </c>
      <c r="C493" t="s">
        <v>2959</v>
      </c>
      <c r="D493" t="s">
        <v>256</v>
      </c>
      <c r="E493" t="s">
        <v>244</v>
      </c>
      <c r="F493">
        <v>1</v>
      </c>
      <c r="G493">
        <v>2</v>
      </c>
      <c r="H493">
        <v>0</v>
      </c>
      <c r="I493" s="1" t="s">
        <v>2960</v>
      </c>
      <c r="J493" s="1" t="s">
        <v>2961</v>
      </c>
    </row>
    <row r="494" spans="1:11" ht="60" x14ac:dyDescent="0.25">
      <c r="A494" t="s">
        <v>2962</v>
      </c>
      <c r="B494" t="s">
        <v>214</v>
      </c>
      <c r="C494" t="s">
        <v>2963</v>
      </c>
      <c r="D494" t="s">
        <v>2964</v>
      </c>
      <c r="E494" t="s">
        <v>1032</v>
      </c>
      <c r="F494">
        <v>2</v>
      </c>
      <c r="G494">
        <v>2</v>
      </c>
      <c r="H494">
        <v>1</v>
      </c>
      <c r="I494" s="1" t="s">
        <v>2965</v>
      </c>
      <c r="J494" s="1" t="s">
        <v>2966</v>
      </c>
      <c r="K494" s="1" t="s">
        <v>1534</v>
      </c>
    </row>
    <row r="495" spans="1:11" ht="90" x14ac:dyDescent="0.25">
      <c r="A495" t="s">
        <v>2967</v>
      </c>
      <c r="B495" t="s">
        <v>214</v>
      </c>
      <c r="C495" t="s">
        <v>2968</v>
      </c>
      <c r="D495" t="s">
        <v>2969</v>
      </c>
      <c r="E495" t="s">
        <v>442</v>
      </c>
      <c r="F495">
        <v>2</v>
      </c>
      <c r="G495">
        <v>2</v>
      </c>
      <c r="H495">
        <v>1</v>
      </c>
      <c r="I495" s="1" t="s">
        <v>2970</v>
      </c>
      <c r="J495" s="1" t="s">
        <v>2971</v>
      </c>
      <c r="K495" s="1" t="s">
        <v>2972</v>
      </c>
    </row>
    <row r="496" spans="1:11" ht="120" x14ac:dyDescent="0.25">
      <c r="A496" t="s">
        <v>2973</v>
      </c>
      <c r="B496" t="s">
        <v>214</v>
      </c>
      <c r="C496" t="s">
        <v>2974</v>
      </c>
      <c r="D496" t="s">
        <v>2975</v>
      </c>
      <c r="E496" t="s">
        <v>2976</v>
      </c>
      <c r="F496">
        <v>3</v>
      </c>
      <c r="G496">
        <v>3</v>
      </c>
      <c r="H496">
        <v>2</v>
      </c>
      <c r="I496" s="1" t="s">
        <v>2977</v>
      </c>
      <c r="J496" s="1" t="s">
        <v>2978</v>
      </c>
      <c r="K496" s="1" t="s">
        <v>2979</v>
      </c>
    </row>
    <row r="497" spans="1:11" ht="45" x14ac:dyDescent="0.25">
      <c r="A497" t="s">
        <v>2980</v>
      </c>
      <c r="B497" t="s">
        <v>214</v>
      </c>
      <c r="C497" t="s">
        <v>2981</v>
      </c>
      <c r="D497" t="s">
        <v>2982</v>
      </c>
      <c r="E497" t="s">
        <v>2983</v>
      </c>
      <c r="F497">
        <v>2</v>
      </c>
      <c r="G497">
        <v>2</v>
      </c>
      <c r="H497">
        <v>1</v>
      </c>
      <c r="I497" s="1" t="s">
        <v>2984</v>
      </c>
      <c r="J497" s="1" t="s">
        <v>2985</v>
      </c>
      <c r="K497" s="1" t="s">
        <v>2986</v>
      </c>
    </row>
    <row r="498" spans="1:11" ht="75" x14ac:dyDescent="0.25">
      <c r="A498" t="s">
        <v>2987</v>
      </c>
      <c r="B498" t="s">
        <v>214</v>
      </c>
      <c r="C498" t="s">
        <v>2988</v>
      </c>
      <c r="D498" t="s">
        <v>1766</v>
      </c>
      <c r="E498" t="s">
        <v>742</v>
      </c>
      <c r="F498">
        <v>2</v>
      </c>
      <c r="G498">
        <v>1</v>
      </c>
      <c r="H498">
        <v>1</v>
      </c>
      <c r="I498" s="1" t="s">
        <v>2989</v>
      </c>
      <c r="J498" s="1" t="s">
        <v>2990</v>
      </c>
      <c r="K498" s="1" t="s">
        <v>2991</v>
      </c>
    </row>
    <row r="499" spans="1:11" ht="75" x14ac:dyDescent="0.25">
      <c r="A499" t="s">
        <v>2992</v>
      </c>
      <c r="B499" t="s">
        <v>214</v>
      </c>
      <c r="C499" t="s">
        <v>2993</v>
      </c>
      <c r="D499" t="s">
        <v>2994</v>
      </c>
      <c r="E499" t="s">
        <v>167</v>
      </c>
      <c r="F499">
        <v>2</v>
      </c>
      <c r="G499">
        <v>2</v>
      </c>
      <c r="H499">
        <v>1</v>
      </c>
      <c r="I499" s="1" t="s">
        <v>1691</v>
      </c>
      <c r="J499" s="1" t="s">
        <v>2995</v>
      </c>
      <c r="K499" s="1" t="s">
        <v>2996</v>
      </c>
    </row>
    <row r="500" spans="1:11" ht="120" x14ac:dyDescent="0.25">
      <c r="A500" t="s">
        <v>2997</v>
      </c>
      <c r="B500" t="s">
        <v>214</v>
      </c>
      <c r="C500" t="s">
        <v>2998</v>
      </c>
      <c r="D500" t="s">
        <v>2999</v>
      </c>
      <c r="E500" t="s">
        <v>3000</v>
      </c>
      <c r="F500">
        <v>4</v>
      </c>
      <c r="G500">
        <v>4</v>
      </c>
      <c r="H500">
        <v>3</v>
      </c>
      <c r="I500" s="1" t="s">
        <v>3001</v>
      </c>
      <c r="J500" s="1" t="s">
        <v>3002</v>
      </c>
      <c r="K500" s="1" t="s">
        <v>3003</v>
      </c>
    </row>
    <row r="501" spans="1:11" ht="45" x14ac:dyDescent="0.25">
      <c r="A501" t="s">
        <v>3004</v>
      </c>
      <c r="B501" t="s">
        <v>214</v>
      </c>
      <c r="C501" t="s">
        <v>3005</v>
      </c>
      <c r="D501" t="s">
        <v>1008</v>
      </c>
      <c r="E501" t="s">
        <v>1009</v>
      </c>
      <c r="F501">
        <v>1</v>
      </c>
      <c r="G501">
        <v>1</v>
      </c>
      <c r="H501">
        <v>1</v>
      </c>
      <c r="I501" s="1" t="s">
        <v>1010</v>
      </c>
      <c r="J501" s="1" t="s">
        <v>3006</v>
      </c>
      <c r="K501" s="1" t="s">
        <v>3007</v>
      </c>
    </row>
    <row r="502" spans="1:11" ht="135" x14ac:dyDescent="0.25">
      <c r="A502" t="s">
        <v>3008</v>
      </c>
      <c r="B502" t="s">
        <v>214</v>
      </c>
      <c r="C502" t="s">
        <v>3009</v>
      </c>
      <c r="D502" t="s">
        <v>3010</v>
      </c>
      <c r="E502" t="s">
        <v>3011</v>
      </c>
      <c r="F502">
        <v>4</v>
      </c>
      <c r="G502">
        <v>3</v>
      </c>
      <c r="H502">
        <v>2</v>
      </c>
      <c r="I502" s="1" t="s">
        <v>3012</v>
      </c>
      <c r="J502" s="1" t="s">
        <v>3013</v>
      </c>
      <c r="K502" s="1" t="s">
        <v>3014</v>
      </c>
    </row>
    <row r="503" spans="1:11" ht="60" x14ac:dyDescent="0.25">
      <c r="A503" t="s">
        <v>3015</v>
      </c>
      <c r="B503" t="s">
        <v>214</v>
      </c>
      <c r="C503" t="s">
        <v>3016</v>
      </c>
      <c r="D503" t="s">
        <v>3017</v>
      </c>
      <c r="E503" t="s">
        <v>3018</v>
      </c>
      <c r="F503">
        <v>2</v>
      </c>
      <c r="G503">
        <v>2</v>
      </c>
      <c r="H503">
        <v>1</v>
      </c>
      <c r="I503" s="1" t="s">
        <v>3019</v>
      </c>
      <c r="J503" s="1" t="s">
        <v>3020</v>
      </c>
      <c r="K503" s="1" t="s">
        <v>3021</v>
      </c>
    </row>
    <row r="504" spans="1:11" ht="75" x14ac:dyDescent="0.25">
      <c r="A504" t="s">
        <v>3022</v>
      </c>
      <c r="B504" t="s">
        <v>214</v>
      </c>
      <c r="C504" t="s">
        <v>3023</v>
      </c>
      <c r="D504" t="s">
        <v>2994</v>
      </c>
      <c r="E504" t="s">
        <v>167</v>
      </c>
      <c r="F504">
        <v>2</v>
      </c>
      <c r="G504">
        <v>2</v>
      </c>
      <c r="H504">
        <v>1</v>
      </c>
      <c r="I504" s="1" t="s">
        <v>3024</v>
      </c>
      <c r="J504" s="1" t="s">
        <v>3025</v>
      </c>
      <c r="K504" s="1" t="s">
        <v>3026</v>
      </c>
    </row>
    <row r="505" spans="1:11" ht="90" x14ac:dyDescent="0.25">
      <c r="A505" t="s">
        <v>3027</v>
      </c>
      <c r="B505" t="s">
        <v>214</v>
      </c>
      <c r="C505" t="s">
        <v>3028</v>
      </c>
      <c r="D505" t="s">
        <v>3029</v>
      </c>
      <c r="E505" t="s">
        <v>2942</v>
      </c>
      <c r="F505">
        <v>2</v>
      </c>
      <c r="G505">
        <v>4</v>
      </c>
      <c r="H505">
        <v>2</v>
      </c>
      <c r="I505" s="1" t="s">
        <v>3030</v>
      </c>
      <c r="J505" s="1" t="s">
        <v>3031</v>
      </c>
      <c r="K505" s="1" t="s">
        <v>3032</v>
      </c>
    </row>
    <row r="506" spans="1:11" ht="45" x14ac:dyDescent="0.25">
      <c r="A506" t="s">
        <v>3033</v>
      </c>
      <c r="B506" t="s">
        <v>214</v>
      </c>
      <c r="D506" t="s">
        <v>3034</v>
      </c>
      <c r="E506" t="s">
        <v>880</v>
      </c>
      <c r="F506">
        <v>1</v>
      </c>
      <c r="G506">
        <v>1</v>
      </c>
      <c r="H506">
        <v>0</v>
      </c>
      <c r="I506" s="1" t="s">
        <v>3035</v>
      </c>
      <c r="J506" s="1" t="s">
        <v>3036</v>
      </c>
    </row>
    <row r="507" spans="1:11" ht="75" x14ac:dyDescent="0.25">
      <c r="A507" t="s">
        <v>3037</v>
      </c>
      <c r="B507" t="s">
        <v>214</v>
      </c>
      <c r="C507" t="s">
        <v>615</v>
      </c>
      <c r="D507" t="s">
        <v>616</v>
      </c>
      <c r="E507" t="s">
        <v>617</v>
      </c>
      <c r="F507">
        <v>3</v>
      </c>
      <c r="G507">
        <v>3</v>
      </c>
      <c r="H507">
        <v>2</v>
      </c>
      <c r="I507" s="1" t="s">
        <v>618</v>
      </c>
      <c r="J507" s="1" t="s">
        <v>3038</v>
      </c>
      <c r="K507" s="1" t="s">
        <v>3039</v>
      </c>
    </row>
    <row r="508" spans="1:11" ht="75" x14ac:dyDescent="0.25">
      <c r="A508" t="s">
        <v>3040</v>
      </c>
      <c r="B508" t="s">
        <v>214</v>
      </c>
      <c r="C508" t="s">
        <v>3041</v>
      </c>
      <c r="D508" t="s">
        <v>3042</v>
      </c>
      <c r="E508" t="s">
        <v>3043</v>
      </c>
      <c r="F508">
        <v>2</v>
      </c>
      <c r="G508">
        <v>3</v>
      </c>
      <c r="H508">
        <v>2</v>
      </c>
      <c r="I508" s="1" t="s">
        <v>685</v>
      </c>
      <c r="J508" s="1" t="s">
        <v>3044</v>
      </c>
      <c r="K508" s="1" t="s">
        <v>3045</v>
      </c>
    </row>
    <row r="509" spans="1:11" ht="105" x14ac:dyDescent="0.25">
      <c r="A509" t="s">
        <v>3046</v>
      </c>
      <c r="B509" t="s">
        <v>214</v>
      </c>
      <c r="D509" t="s">
        <v>3047</v>
      </c>
      <c r="E509" t="s">
        <v>150</v>
      </c>
      <c r="F509">
        <v>3</v>
      </c>
      <c r="G509">
        <v>3</v>
      </c>
      <c r="H509">
        <v>2</v>
      </c>
      <c r="I509" s="1" t="s">
        <v>3048</v>
      </c>
      <c r="J509" s="1" t="s">
        <v>3049</v>
      </c>
      <c r="K509" s="1" t="s">
        <v>3050</v>
      </c>
    </row>
    <row r="510" spans="1:11" ht="105" x14ac:dyDescent="0.25">
      <c r="A510" t="s">
        <v>3051</v>
      </c>
      <c r="B510" t="s">
        <v>214</v>
      </c>
      <c r="D510" t="s">
        <v>1598</v>
      </c>
      <c r="E510" t="s">
        <v>1599</v>
      </c>
      <c r="F510">
        <v>3</v>
      </c>
      <c r="G510">
        <v>3</v>
      </c>
      <c r="H510">
        <v>2</v>
      </c>
      <c r="I510" s="1" t="s">
        <v>3052</v>
      </c>
      <c r="J510" s="1" t="s">
        <v>3053</v>
      </c>
      <c r="K510" s="1" t="s">
        <v>3054</v>
      </c>
    </row>
    <row r="511" spans="1:11" ht="165" x14ac:dyDescent="0.25">
      <c r="A511" t="s">
        <v>3055</v>
      </c>
      <c r="B511" t="s">
        <v>214</v>
      </c>
      <c r="D511" t="s">
        <v>3056</v>
      </c>
      <c r="E511" t="s">
        <v>3057</v>
      </c>
      <c r="F511">
        <v>4</v>
      </c>
      <c r="G511">
        <v>4</v>
      </c>
      <c r="H511">
        <v>3</v>
      </c>
      <c r="I511" s="1" t="s">
        <v>3058</v>
      </c>
      <c r="J511" s="1" t="s">
        <v>3059</v>
      </c>
      <c r="K511" s="1" t="s">
        <v>3060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oar_image_traceability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 Ling</dc:creator>
  <cp:lastModifiedBy>Meng</cp:lastModifiedBy>
  <dcterms:created xsi:type="dcterms:W3CDTF">2026-05-14T05:28:33Z</dcterms:created>
  <dcterms:modified xsi:type="dcterms:W3CDTF">2026-05-14T05:31:21Z</dcterms:modified>
</cp:coreProperties>
</file>